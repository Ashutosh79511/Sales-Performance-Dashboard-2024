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ms-excel.documenttasks+xml" PartName="/xl/documenttasks/documenttask1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" sheetId="1" r:id="rId5"/>
    <sheet state="visible" name="Analysis" sheetId="2" r:id="rId6"/>
    <sheet state="visible" name="Region_Month" sheetId="3" r:id="rId7"/>
    <sheet state="visible" name="Salesperson" sheetId="4" r:id="rId8"/>
    <sheet state="visible" name="Category" sheetId="5" r:id="rId9"/>
    <sheet state="visible" name="Order_Status" sheetId="6" r:id="rId10"/>
    <sheet state="visible" name="Total_category_Revenue" sheetId="7" r:id="rId11"/>
    <sheet state="visible" name="Dashboard" sheetId="8" r:id="rId12"/>
  </sheets>
  <definedNames/>
  <calcPr/>
  <pivotCaches>
    <pivotCache cacheId="0" r:id="rId13"/>
    <pivotCache cacheId="1" r:id="rId14"/>
    <pivotCache cacheId="2" r:id="rId15"/>
    <pivotCache cacheId="3" r:id="rId16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tc={5844c245-5d6d-42b7-aeb4-ce143c8e2e15}</author>
  </authors>
  <commentList>
    <comment authorId="0" xr:uid="{5844c245-5d6d-42b7-aeb4-ce143c8e2e15}" ref="A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total sales
</t>
      </text>
    </comment>
  </commentList>
</comments>
</file>

<file path=xl/sharedStrings.xml><?xml version="1.0" encoding="utf-8"?>
<sst xmlns="http://schemas.openxmlformats.org/spreadsheetml/2006/main" count="2070" uniqueCount="787">
  <si>
    <t>Order no.</t>
  </si>
  <si>
    <t>Total revenue for the year</t>
  </si>
  <si>
    <t>Date</t>
  </si>
  <si>
    <t>Region</t>
  </si>
  <si>
    <t>Salesperson</t>
  </si>
  <si>
    <t>Category</t>
  </si>
  <si>
    <t>Unit Sold</t>
  </si>
  <si>
    <t>Unit Price</t>
  </si>
  <si>
    <t>Status</t>
  </si>
  <si>
    <t>Month</t>
  </si>
  <si>
    <t>Revenue After Returns</t>
  </si>
  <si>
    <t>Product</t>
  </si>
  <si>
    <t>Total Sales</t>
  </si>
  <si>
    <t>Month Number</t>
  </si>
  <si>
    <t>ORD-1</t>
  </si>
  <si>
    <t>11/30/2024</t>
  </si>
  <si>
    <t>East</t>
  </si>
  <si>
    <t>Drusie Stedmond</t>
  </si>
  <si>
    <t>Revenue broken down by each region</t>
  </si>
  <si>
    <t>North</t>
  </si>
  <si>
    <t>Returned</t>
  </si>
  <si>
    <t xml:space="preserve">East </t>
  </si>
  <si>
    <t>West</t>
  </si>
  <si>
    <t>Logitech Mouse</t>
  </si>
  <si>
    <t>South</t>
  </si>
  <si>
    <t>ORD-2</t>
  </si>
  <si>
    <t>07/29/2024</t>
  </si>
  <si>
    <t>Piggy Charlewood</t>
  </si>
  <si>
    <t>Best performing salesperson</t>
  </si>
  <si>
    <t>Pending</t>
  </si>
  <si>
    <t>Boat Earbuds</t>
  </si>
  <si>
    <t>ORD-3</t>
  </si>
  <si>
    <t>04/14/2024</t>
  </si>
  <si>
    <t>Duky Ronisch</t>
  </si>
  <si>
    <t>Completed</t>
  </si>
  <si>
    <t>SUM of Revenue After Returns</t>
  </si>
  <si>
    <t>No. of orders returned</t>
  </si>
  <si>
    <t>iPhone 15</t>
  </si>
  <si>
    <t>ORD-4</t>
  </si>
  <si>
    <t>Gabe Howell</t>
  </si>
  <si>
    <t>Britney Siddaley</t>
  </si>
  <si>
    <t>highest sales month</t>
  </si>
  <si>
    <t>Dec</t>
  </si>
  <si>
    <t>HP Laptop</t>
  </si>
  <si>
    <t>average order value per category</t>
  </si>
  <si>
    <t>Emmett Coode</t>
  </si>
  <si>
    <t>Mobiles</t>
  </si>
  <si>
    <t>ORD-5</t>
  </si>
  <si>
    <t>07/31/2024</t>
  </si>
  <si>
    <t>Burr Jago</t>
  </si>
  <si>
    <t>Reinwald Gyenes</t>
  </si>
  <si>
    <t>ORD-6</t>
  </si>
  <si>
    <t>Wenonah Hallatt</t>
  </si>
  <si>
    <t>Accessories</t>
  </si>
  <si>
    <t>Ronny Gumbrell</t>
  </si>
  <si>
    <t>Dell Laptop</t>
  </si>
  <si>
    <t>Grand Total</t>
  </si>
  <si>
    <t>ORD-7</t>
  </si>
  <si>
    <t>10/22/2024</t>
  </si>
  <si>
    <t>Lurette Heavyside</t>
  </si>
  <si>
    <t>Jan</t>
  </si>
  <si>
    <t>Laptops</t>
  </si>
  <si>
    <t>Feb</t>
  </si>
  <si>
    <t>Nikki Dunbavin</t>
  </si>
  <si>
    <t>Top Product by Revenue</t>
  </si>
  <si>
    <t>ORD-8</t>
  </si>
  <si>
    <t>06/16/2024</t>
  </si>
  <si>
    <t>Malcolm Poulsum</t>
  </si>
  <si>
    <t>Mar</t>
  </si>
  <si>
    <t>Bradley Wiggins</t>
  </si>
  <si>
    <t>Apr</t>
  </si>
  <si>
    <t>ORD-9</t>
  </si>
  <si>
    <t>02/15/2024</t>
  </si>
  <si>
    <t>Mattie Gilberthorpe</t>
  </si>
  <si>
    <t>Carr Prisley</t>
  </si>
  <si>
    <t>Samsung Galaxy</t>
  </si>
  <si>
    <t>Salesperson with Most Orders</t>
  </si>
  <si>
    <t>May</t>
  </si>
  <si>
    <t>Bailey Hickinbottom</t>
  </si>
  <si>
    <t>ORD-10</t>
  </si>
  <si>
    <t>Chickie Dayley</t>
  </si>
  <si>
    <t xml:space="preserve"> </t>
  </si>
  <si>
    <t>Jun</t>
  </si>
  <si>
    <t xml:space="preserve">Completion Rate by Region </t>
  </si>
  <si>
    <t xml:space="preserve">North </t>
  </si>
  <si>
    <t>OnePlus TV</t>
  </si>
  <si>
    <t>Ferris Corneille</t>
  </si>
  <si>
    <t>ORD-11</t>
  </si>
  <si>
    <t>Annalise Plowman</t>
  </si>
  <si>
    <t>Jul</t>
  </si>
  <si>
    <t>Myles Barringer</t>
  </si>
  <si>
    <t>ORD-12</t>
  </si>
  <si>
    <t>Aug</t>
  </si>
  <si>
    <t>09/21/2024</t>
  </si>
  <si>
    <t>Janessa Bladder</t>
  </si>
  <si>
    <t>Sep</t>
  </si>
  <si>
    <t>ORD-13</t>
  </si>
  <si>
    <t>Orrin Suarez</t>
  </si>
  <si>
    <t>Halsey Judson</t>
  </si>
  <si>
    <t>Oct</t>
  </si>
  <si>
    <t>ORD-14</t>
  </si>
  <si>
    <t>12/15/2024</t>
  </si>
  <si>
    <t>Fallon Simonassi</t>
  </si>
  <si>
    <t>Tessi Giacomuzzo</t>
  </si>
  <si>
    <t>Nov</t>
  </si>
  <si>
    <t>Berty Perl</t>
  </si>
  <si>
    <t>ORD-15</t>
  </si>
  <si>
    <t>11/20/2024</t>
  </si>
  <si>
    <t>Bobinette Lakenton</t>
  </si>
  <si>
    <t>Ainsley Wesley</t>
  </si>
  <si>
    <t>Most Common Product Sold</t>
  </si>
  <si>
    <t>ORD-16</t>
  </si>
  <si>
    <t>Elisabeth Give</t>
  </si>
  <si>
    <t>Vidovic Bonson</t>
  </si>
  <si>
    <t>ORD-17</t>
  </si>
  <si>
    <t>12/29/2024</t>
  </si>
  <si>
    <t>Meggi Bodechon</t>
  </si>
  <si>
    <t>Rod Attoe</t>
  </si>
  <si>
    <t>ORD-18</t>
  </si>
  <si>
    <t>01/14/2024</t>
  </si>
  <si>
    <t>Lorrie Rogers</t>
  </si>
  <si>
    <t>Clemence Gillooly</t>
  </si>
  <si>
    <t>ORD-19</t>
  </si>
  <si>
    <t>12/23/2024</t>
  </si>
  <si>
    <t>Avictor Curreen</t>
  </si>
  <si>
    <t>Judas Scanlon</t>
  </si>
  <si>
    <t>ORD-20</t>
  </si>
  <si>
    <t>04/26/2024</t>
  </si>
  <si>
    <t>Zilvia Muat</t>
  </si>
  <si>
    <t>Renato MacTurlough</t>
  </si>
  <si>
    <t>ORD-21</t>
  </si>
  <si>
    <t>10/24/2024</t>
  </si>
  <si>
    <t>Caron Postan</t>
  </si>
  <si>
    <t>Alison Vasyagin</t>
  </si>
  <si>
    <t>ORD-22</t>
  </si>
  <si>
    <t>09/18/2024</t>
  </si>
  <si>
    <t>Carey Oloshin</t>
  </si>
  <si>
    <t>Christyna Daverin</t>
  </si>
  <si>
    <t>ORD-23</t>
  </si>
  <si>
    <t>03/29/2024</t>
  </si>
  <si>
    <t>Moreen Yeldham</t>
  </si>
  <si>
    <t>Bobbie Owens</t>
  </si>
  <si>
    <t>ORD-24</t>
  </si>
  <si>
    <t>Idette Morfey</t>
  </si>
  <si>
    <t>Trula Cobbin</t>
  </si>
  <si>
    <t>ORD-25</t>
  </si>
  <si>
    <t>Lizette Hadye</t>
  </si>
  <si>
    <t>Harrison Feye</t>
  </si>
  <si>
    <t>ORD-26</t>
  </si>
  <si>
    <t>03/23/2024</t>
  </si>
  <si>
    <t>Fey Walworth</t>
  </si>
  <si>
    <t>Balduin Mandifield</t>
  </si>
  <si>
    <t>ORD-27</t>
  </si>
  <si>
    <t>Casper Tixall</t>
  </si>
  <si>
    <t>Kip Stappard</t>
  </si>
  <si>
    <t>ORD-28</t>
  </si>
  <si>
    <t>Karee Rossant</t>
  </si>
  <si>
    <t>Chance Abbiss</t>
  </si>
  <si>
    <t>Ardelle O'Meara</t>
  </si>
  <si>
    <t>ORD-29</t>
  </si>
  <si>
    <t>01/27/2024</t>
  </si>
  <si>
    <t>Kelley Carren</t>
  </si>
  <si>
    <t>Godwin Screach</t>
  </si>
  <si>
    <t>ORD-30</t>
  </si>
  <si>
    <t>Royal Madner</t>
  </si>
  <si>
    <t>Calv Blackney</t>
  </si>
  <si>
    <t>ORD-31</t>
  </si>
  <si>
    <t>03/25/2024</t>
  </si>
  <si>
    <t>Christoper Maevela</t>
  </si>
  <si>
    <t>Jayme Raymont</t>
  </si>
  <si>
    <t>ORD-32</t>
  </si>
  <si>
    <t>10/31/2024</t>
  </si>
  <si>
    <t>Torrie Targett</t>
  </si>
  <si>
    <t>Barn Rouch</t>
  </si>
  <si>
    <t>ORD-33</t>
  </si>
  <si>
    <t>Hunter Knappitt</t>
  </si>
  <si>
    <t>Griffin Showl</t>
  </si>
  <si>
    <t>Giovanni Gostyke</t>
  </si>
  <si>
    <t>ORD-34</t>
  </si>
  <si>
    <t>Eldredge Hair</t>
  </si>
  <si>
    <t>Udale Aspinell</t>
  </si>
  <si>
    <t>ORD-35</t>
  </si>
  <si>
    <t>08/25/2024</t>
  </si>
  <si>
    <t>Gaspard Obbard</t>
  </si>
  <si>
    <t>Aldwin Bernet</t>
  </si>
  <si>
    <t>Bili McVeighty</t>
  </si>
  <si>
    <t>ORD-36</t>
  </si>
  <si>
    <t>Clari Pablo</t>
  </si>
  <si>
    <t>ORD-37</t>
  </si>
  <si>
    <t>Bordy Morilla</t>
  </si>
  <si>
    <t>Sadie Djorvic</t>
  </si>
  <si>
    <t>Gabi Forte</t>
  </si>
  <si>
    <t>ORD-38</t>
  </si>
  <si>
    <t>04/29/2024</t>
  </si>
  <si>
    <t>Giustino Thorne</t>
  </si>
  <si>
    <t>ORD-39</t>
  </si>
  <si>
    <t>11/14/2024</t>
  </si>
  <si>
    <t>Winnifred Pocklington</t>
  </si>
  <si>
    <t>Winona Sheirlaw</t>
  </si>
  <si>
    <t>Rolando Laity</t>
  </si>
  <si>
    <t>ORD-40</t>
  </si>
  <si>
    <t>08/13/2024</t>
  </si>
  <si>
    <t>Humfrid Brockman</t>
  </si>
  <si>
    <t>Percival Licciardi</t>
  </si>
  <si>
    <t>ORD-41</t>
  </si>
  <si>
    <t>Cosme Leonida</t>
  </si>
  <si>
    <t>Mattie Tolson</t>
  </si>
  <si>
    <t>ORD-42</t>
  </si>
  <si>
    <t>Tomas Wybourne</t>
  </si>
  <si>
    <t>Kevin Penney</t>
  </si>
  <si>
    <t>ORD-43</t>
  </si>
  <si>
    <t>01/31/2024</t>
  </si>
  <si>
    <t>Cori Assante</t>
  </si>
  <si>
    <t>Mufinella Liversley</t>
  </si>
  <si>
    <t>Gabbie Outright</t>
  </si>
  <si>
    <t>ORD-44</t>
  </si>
  <si>
    <t>08/15/2024</t>
  </si>
  <si>
    <t>Phaedra Rabson</t>
  </si>
  <si>
    <t>ORD-45</t>
  </si>
  <si>
    <t>10/13/2024</t>
  </si>
  <si>
    <t>Koenraad Kryszka</t>
  </si>
  <si>
    <t>Cornall Summons</t>
  </si>
  <si>
    <t>ORD-46</t>
  </si>
  <si>
    <t>Jase Pallis</t>
  </si>
  <si>
    <t>Demetria Gwinn</t>
  </si>
  <si>
    <t>ORD-47</t>
  </si>
  <si>
    <t>02/14/2024</t>
  </si>
  <si>
    <t>Octavius Steggals</t>
  </si>
  <si>
    <t>ORD-48</t>
  </si>
  <si>
    <t>01/24/2024</t>
  </si>
  <si>
    <t>Sigfrid Leyre</t>
  </si>
  <si>
    <t>Anya Aslam</t>
  </si>
  <si>
    <t>ORD-49</t>
  </si>
  <si>
    <t>Alfie Edkins</t>
  </si>
  <si>
    <t>Emlyn Lawther</t>
  </si>
  <si>
    <t>ORD-50</t>
  </si>
  <si>
    <t>Neall Graalman</t>
  </si>
  <si>
    <t>ORD-51</t>
  </si>
  <si>
    <t>Tilda Warmisham</t>
  </si>
  <si>
    <t>Savina Skin</t>
  </si>
  <si>
    <t>Giffie Rearie</t>
  </si>
  <si>
    <t>ORD-52</t>
  </si>
  <si>
    <t>10/23/2024</t>
  </si>
  <si>
    <t>Stewart Yanukhin</t>
  </si>
  <si>
    <t>Laverna Blunsen</t>
  </si>
  <si>
    <t>ORD-53</t>
  </si>
  <si>
    <t>Silvester Steiner</t>
  </si>
  <si>
    <t>De witt Hastie</t>
  </si>
  <si>
    <t>ORD-54</t>
  </si>
  <si>
    <t>Pattie Kimmons</t>
  </si>
  <si>
    <t>Uta Freak</t>
  </si>
  <si>
    <t>ORD-55</t>
  </si>
  <si>
    <t>08/23/2024</t>
  </si>
  <si>
    <t>Nicola Killcross</t>
  </si>
  <si>
    <t>Clare Frill</t>
  </si>
  <si>
    <t>ORD-56</t>
  </si>
  <si>
    <t>09/24/2024</t>
  </si>
  <si>
    <t>Denys Amberger</t>
  </si>
  <si>
    <t>Hermy Warnes</t>
  </si>
  <si>
    <t>ORD-57</t>
  </si>
  <si>
    <t>01/22/2024</t>
  </si>
  <si>
    <t>Vally Nyles</t>
  </si>
  <si>
    <t>Maury Breede</t>
  </si>
  <si>
    <t>Krissy Tomaini</t>
  </si>
  <si>
    <t>ORD-58</t>
  </si>
  <si>
    <t>05/25/2024</t>
  </si>
  <si>
    <t>Pincas Nutten</t>
  </si>
  <si>
    <t>Jaquenette Glyne</t>
  </si>
  <si>
    <t>ORD-59</t>
  </si>
  <si>
    <t>02/20/2024</t>
  </si>
  <si>
    <t>Kit Sheards</t>
  </si>
  <si>
    <t>Hewett Isham</t>
  </si>
  <si>
    <t>ORD-60</t>
  </si>
  <si>
    <t>Frans Lickorish</t>
  </si>
  <si>
    <t>ORD-61</t>
  </si>
  <si>
    <t>Curcio Bondesen</t>
  </si>
  <si>
    <t>Emyle Titchmarsh</t>
  </si>
  <si>
    <t>ORD-62</t>
  </si>
  <si>
    <t>06/14/2024</t>
  </si>
  <si>
    <t>Veronique Cajkler</t>
  </si>
  <si>
    <t>Stavro Van Dale</t>
  </si>
  <si>
    <t>ORD-63</t>
  </si>
  <si>
    <t>Kimberli Motion</t>
  </si>
  <si>
    <t>ORD-64</t>
  </si>
  <si>
    <t>Corrina German</t>
  </si>
  <si>
    <t>Bil Ivanchov</t>
  </si>
  <si>
    <t>Othilie Cluderay</t>
  </si>
  <si>
    <t>ORD-65</t>
  </si>
  <si>
    <t>12/20/2024</t>
  </si>
  <si>
    <t>Hendrika Ivashintsov</t>
  </si>
  <si>
    <t>Mercie Lines</t>
  </si>
  <si>
    <t>ORD-66</t>
  </si>
  <si>
    <t>Ewart Glasby</t>
  </si>
  <si>
    <t>Maren Osichev</t>
  </si>
  <si>
    <t>ORD-67</t>
  </si>
  <si>
    <t>Vania Aimeric</t>
  </si>
  <si>
    <t>Leanora Wimms</t>
  </si>
  <si>
    <t>ORD-68</t>
  </si>
  <si>
    <t>11/27/2024</t>
  </si>
  <si>
    <t>Orbadiah Smout</t>
  </si>
  <si>
    <t>ORD-69</t>
  </si>
  <si>
    <t>06/28/2024</t>
  </si>
  <si>
    <t>Arleyne Badham</t>
  </si>
  <si>
    <t>Nicolais MacCrossan</t>
  </si>
  <si>
    <t>ORD-70</t>
  </si>
  <si>
    <t>Ian Spary</t>
  </si>
  <si>
    <t>Gabbey Christopher</t>
  </si>
  <si>
    <t>ORD-71</t>
  </si>
  <si>
    <t>05/30/2024</t>
  </si>
  <si>
    <t>Guillermo Kiffin</t>
  </si>
  <si>
    <t>Herc Chalmers</t>
  </si>
  <si>
    <t>ORD-72</t>
  </si>
  <si>
    <t>11/25/2024</t>
  </si>
  <si>
    <t>Saul Rhymer</t>
  </si>
  <si>
    <t>Fanny Smalman</t>
  </si>
  <si>
    <t>ORD-73</t>
  </si>
  <si>
    <t>Patrick Klimt</t>
  </si>
  <si>
    <t>ORD-74</t>
  </si>
  <si>
    <t>Neddy Tellett</t>
  </si>
  <si>
    <t>Osgood Claeskens</t>
  </si>
  <si>
    <t>ORD-75</t>
  </si>
  <si>
    <t>Kelci Fehner</t>
  </si>
  <si>
    <t>ORD-76</t>
  </si>
  <si>
    <t>Vic Hammond</t>
  </si>
  <si>
    <t>Trumaine Molloy</t>
  </si>
  <si>
    <t>ORD-77</t>
  </si>
  <si>
    <t>Barb Minihan</t>
  </si>
  <si>
    <t>Douglas Messruther</t>
  </si>
  <si>
    <t>ORD-78</t>
  </si>
  <si>
    <t>Curtis Ashburner</t>
  </si>
  <si>
    <t>Kristi Hoodless</t>
  </si>
  <si>
    <t>ORD-79</t>
  </si>
  <si>
    <t>Emlyn Borrowman</t>
  </si>
  <si>
    <t>Patrica Job</t>
  </si>
  <si>
    <t>ORD-80</t>
  </si>
  <si>
    <t>08/14/2024</t>
  </si>
  <si>
    <t>Rafi Dagleas</t>
  </si>
  <si>
    <t>ORD-81</t>
  </si>
  <si>
    <t>Shane Dunnan</t>
  </si>
  <si>
    <t>ORD-82</t>
  </si>
  <si>
    <t>Bobbee Hammerman</t>
  </si>
  <si>
    <t>ORD-83</t>
  </si>
  <si>
    <t>10/29/2024</t>
  </si>
  <si>
    <t>ORD-84</t>
  </si>
  <si>
    <t>Saloma Gitting</t>
  </si>
  <si>
    <t>ORD-85</t>
  </si>
  <si>
    <t>05/20/2024</t>
  </si>
  <si>
    <t>Gannie Pruckner</t>
  </si>
  <si>
    <t>ORD-86</t>
  </si>
  <si>
    <t>09/13/2024</t>
  </si>
  <si>
    <t>Kendricks Keneforde</t>
  </si>
  <si>
    <t>Johan Saylor</t>
  </si>
  <si>
    <t>ORD-87</t>
  </si>
  <si>
    <t>03/24/2024</t>
  </si>
  <si>
    <t>Roxie Arnall</t>
  </si>
  <si>
    <t>ORD-88</t>
  </si>
  <si>
    <t>05/24/2024</t>
  </si>
  <si>
    <t>Brunhilde Jerke</t>
  </si>
  <si>
    <t>ORD-89</t>
  </si>
  <si>
    <t>Lamont Rosenstengel</t>
  </si>
  <si>
    <t>Moyna Picardo</t>
  </si>
  <si>
    <t>ORD-90</t>
  </si>
  <si>
    <t>11/29/2024</t>
  </si>
  <si>
    <t>Silvana McKirton</t>
  </si>
  <si>
    <t>Nert Traut</t>
  </si>
  <si>
    <t>ORD-91</t>
  </si>
  <si>
    <t>11/24/2024</t>
  </si>
  <si>
    <t>Chip Cathery</t>
  </si>
  <si>
    <t>ORD-92</t>
  </si>
  <si>
    <t>09/16/2024</t>
  </si>
  <si>
    <t>Anselm Oldacres</t>
  </si>
  <si>
    <t>Christiane Blanc</t>
  </si>
  <si>
    <t>Gratiana Searjeant</t>
  </si>
  <si>
    <t>ORD-93</t>
  </si>
  <si>
    <t>Robby Burnyeat</t>
  </si>
  <si>
    <t>ORD-94</t>
  </si>
  <si>
    <t>01/29/2024</t>
  </si>
  <si>
    <t>ORD-95</t>
  </si>
  <si>
    <t>Essie Nossent</t>
  </si>
  <si>
    <t>Amby Connerly</t>
  </si>
  <si>
    <t>ORD-96</t>
  </si>
  <si>
    <t>Lou Dockery</t>
  </si>
  <si>
    <t>ORD-97</t>
  </si>
  <si>
    <t>Deeann Annets</t>
  </si>
  <si>
    <t>ORD-98</t>
  </si>
  <si>
    <t>Sampson Kilfeder</t>
  </si>
  <si>
    <t>07/23/2024</t>
  </si>
  <si>
    <t>ORD-99</t>
  </si>
  <si>
    <t>Charla Leguey</t>
  </si>
  <si>
    <t>Lura Tripney</t>
  </si>
  <si>
    <t>ORD-100</t>
  </si>
  <si>
    <t>11/26/2024</t>
  </si>
  <si>
    <t>Rozamond Dinnis</t>
  </si>
  <si>
    <t>Jonas Plowell</t>
  </si>
  <si>
    <t>ORD-101</t>
  </si>
  <si>
    <t>Josephina McAlinden</t>
  </si>
  <si>
    <t>ORD-102</t>
  </si>
  <si>
    <t>02/16/2024</t>
  </si>
  <si>
    <t>Clywd Winskill</t>
  </si>
  <si>
    <t>ORD-103</t>
  </si>
  <si>
    <t>09/23/2024</t>
  </si>
  <si>
    <t>Anita Hustler</t>
  </si>
  <si>
    <t>ORD-104</t>
  </si>
  <si>
    <t>06/22/2024</t>
  </si>
  <si>
    <t>Sammy Lovegrove</t>
  </si>
  <si>
    <t>Hilary McAughtry</t>
  </si>
  <si>
    <t>ORD-105</t>
  </si>
  <si>
    <t>Iosep Rentilll</t>
  </si>
  <si>
    <t>Mahmoud Riccione</t>
  </si>
  <si>
    <t>ORD-106</t>
  </si>
  <si>
    <t>07/13/2024</t>
  </si>
  <si>
    <t>Dorie Toghill</t>
  </si>
  <si>
    <t>ORD-107</t>
  </si>
  <si>
    <t>02/13/2024</t>
  </si>
  <si>
    <t>Cordula Boobier</t>
  </si>
  <si>
    <t>Carlie Priden</t>
  </si>
  <si>
    <t>ORD-108</t>
  </si>
  <si>
    <t>Papageno Pitcock</t>
  </si>
  <si>
    <t>ORD-109</t>
  </si>
  <si>
    <t>Neda Maccaddie</t>
  </si>
  <si>
    <t>Babette Chavey</t>
  </si>
  <si>
    <t>ORD-110</t>
  </si>
  <si>
    <t>Juanita Haugen</t>
  </si>
  <si>
    <t>ORD-111</t>
  </si>
  <si>
    <t>Evangelin Halcro</t>
  </si>
  <si>
    <t>ORD-112</t>
  </si>
  <si>
    <t>ORD-113</t>
  </si>
  <si>
    <t>03/13/2024</t>
  </si>
  <si>
    <t>Shelbi Mallison</t>
  </si>
  <si>
    <t>ORD-114</t>
  </si>
  <si>
    <t>01/28/2024</t>
  </si>
  <si>
    <t>Beverley Overthrow</t>
  </si>
  <si>
    <t>ORD-115</t>
  </si>
  <si>
    <t>05/14/2024</t>
  </si>
  <si>
    <t>Kristi Iddison</t>
  </si>
  <si>
    <t>Polly Ravenshear</t>
  </si>
  <si>
    <t>ORD-116</t>
  </si>
  <si>
    <t>Sonnie Welling</t>
  </si>
  <si>
    <t>Rowan Childers</t>
  </si>
  <si>
    <t>ORD-117</t>
  </si>
  <si>
    <t>Janek Managh</t>
  </si>
  <si>
    <t>ORD-118</t>
  </si>
  <si>
    <t>Teddy Edwins</t>
  </si>
  <si>
    <t>ORD-119</t>
  </si>
  <si>
    <t>01/17/2024</t>
  </si>
  <si>
    <t>Susy Prydden</t>
  </si>
  <si>
    <t>ORD-120</t>
  </si>
  <si>
    <t>Lorinda Luety</t>
  </si>
  <si>
    <t>ORD-121</t>
  </si>
  <si>
    <t>Devi Schohier</t>
  </si>
  <si>
    <t>Fey Vizard</t>
  </si>
  <si>
    <t>Normy Andrzejowski</t>
  </si>
  <si>
    <t>ORD-122</t>
  </si>
  <si>
    <t>09/14/2024</t>
  </si>
  <si>
    <t>Marinna Dumini</t>
  </si>
  <si>
    <t>ORD-123</t>
  </si>
  <si>
    <t>Wilfrid Boyford</t>
  </si>
  <si>
    <t>ORD-124</t>
  </si>
  <si>
    <t>12/24/2024</t>
  </si>
  <si>
    <t>Neddie Joiris</t>
  </si>
  <si>
    <t>Karilynn Corradetti</t>
  </si>
  <si>
    <t>ORD-125</t>
  </si>
  <si>
    <t>02/28/2024</t>
  </si>
  <si>
    <t>Wells Fer</t>
  </si>
  <si>
    <t>ORD-126</t>
  </si>
  <si>
    <t>Truda Muneely</t>
  </si>
  <si>
    <t>Gratia Pirie</t>
  </si>
  <si>
    <t>ORD-127</t>
  </si>
  <si>
    <t>Nerita Nendick</t>
  </si>
  <si>
    <t>Stafani Ker</t>
  </si>
  <si>
    <t>ORD-128</t>
  </si>
  <si>
    <t>ORD-129</t>
  </si>
  <si>
    <t>Amitie Dunge</t>
  </si>
  <si>
    <t>ORD-130</t>
  </si>
  <si>
    <t>Eadie Shilito</t>
  </si>
  <si>
    <t>Gradeigh Tinwell</t>
  </si>
  <si>
    <t>ORD-131</t>
  </si>
  <si>
    <t>04/15/2024</t>
  </si>
  <si>
    <t>Marissa Dempsey</t>
  </si>
  <si>
    <t>Clyde Mousley</t>
  </si>
  <si>
    <t>ORD-132</t>
  </si>
  <si>
    <t>Langsdon Tilburn</t>
  </si>
  <si>
    <t>ORD-133</t>
  </si>
  <si>
    <t>Quintus Christene</t>
  </si>
  <si>
    <t>Fabian Scudder</t>
  </si>
  <si>
    <t>ORD-134</t>
  </si>
  <si>
    <t>Jerry Evequot</t>
  </si>
  <si>
    <t>ORD-135</t>
  </si>
  <si>
    <t>Gregg Phlippsen</t>
  </si>
  <si>
    <t>Kristine Self</t>
  </si>
  <si>
    <t>ORD-136</t>
  </si>
  <si>
    <t>ORD-137</t>
  </si>
  <si>
    <t>Boniface Franz-Schoninger</t>
  </si>
  <si>
    <t>ORD-138</t>
  </si>
  <si>
    <t>ORD-139</t>
  </si>
  <si>
    <t>11/16/2024</t>
  </si>
  <si>
    <t>Jethro Fraser</t>
  </si>
  <si>
    <t>Raye Payle</t>
  </si>
  <si>
    <t>ORD-140</t>
  </si>
  <si>
    <t>Marietta Dahle</t>
  </si>
  <si>
    <t>ORD-141</t>
  </si>
  <si>
    <t>Ara Baulch</t>
  </si>
  <si>
    <t>Rosalinde Parley</t>
  </si>
  <si>
    <t>ORD-142</t>
  </si>
  <si>
    <t>Frants Gratten</t>
  </si>
  <si>
    <t>ORD-143</t>
  </si>
  <si>
    <t>09/27/2024</t>
  </si>
  <si>
    <t>ORD-144</t>
  </si>
  <si>
    <t>09/22/2024</t>
  </si>
  <si>
    <t>Worthington Keysel</t>
  </si>
  <si>
    <t>Jules Fasler</t>
  </si>
  <si>
    <t>Kingston Whodcoat</t>
  </si>
  <si>
    <t>ORD-145</t>
  </si>
  <si>
    <t>Dorene Lukovic</t>
  </si>
  <si>
    <t>Kalil Scowen</t>
  </si>
  <si>
    <t>ORD-146</t>
  </si>
  <si>
    <t>Marielle Dugan</t>
  </si>
  <si>
    <t>ORD-147</t>
  </si>
  <si>
    <t>Claire Theyer</t>
  </si>
  <si>
    <t>ORD-148</t>
  </si>
  <si>
    <t>Max Boulton</t>
  </si>
  <si>
    <t>ORD-149</t>
  </si>
  <si>
    <t>Giraldo Harsant</t>
  </si>
  <si>
    <t>ORD-150</t>
  </si>
  <si>
    <t>Hilda Blacktin</t>
  </si>
  <si>
    <t>ORD-151</t>
  </si>
  <si>
    <t>Lisabeth Geharke</t>
  </si>
  <si>
    <t>Berton Penniall</t>
  </si>
  <si>
    <t>ORD-152</t>
  </si>
  <si>
    <t>ORD-153</t>
  </si>
  <si>
    <t>08/18/2024</t>
  </si>
  <si>
    <t>Clyde Wickey</t>
  </si>
  <si>
    <t>ORD-154</t>
  </si>
  <si>
    <t>Tara Winskill</t>
  </si>
  <si>
    <t>ORD-155</t>
  </si>
  <si>
    <t>06/13/2024</t>
  </si>
  <si>
    <t>Tybalt Gawler</t>
  </si>
  <si>
    <t>Ennis Dark</t>
  </si>
  <si>
    <t>ORD-156</t>
  </si>
  <si>
    <t>Hurlee Garwood</t>
  </si>
  <si>
    <t>ORD-157</t>
  </si>
  <si>
    <t>D'arcy Lyptratt</t>
  </si>
  <si>
    <t>Adel Matfin</t>
  </si>
  <si>
    <t>ORD-158</t>
  </si>
  <si>
    <t>05/28/2024</t>
  </si>
  <si>
    <t>Jo Hunnicutt</t>
  </si>
  <si>
    <t>ORD-159</t>
  </si>
  <si>
    <t>07/27/2024</t>
  </si>
  <si>
    <t>Savina Chaffe</t>
  </si>
  <si>
    <t>ORD-160</t>
  </si>
  <si>
    <t>Aylmar Varrow</t>
  </si>
  <si>
    <t>ORD-161</t>
  </si>
  <si>
    <t>02/27/2024</t>
  </si>
  <si>
    <t>Cindra Petken</t>
  </si>
  <si>
    <t>ORD-162</t>
  </si>
  <si>
    <t>Wolf Glaum</t>
  </si>
  <si>
    <t>ORD-163</t>
  </si>
  <si>
    <t>Haily Sola</t>
  </si>
  <si>
    <t>ORD-164</t>
  </si>
  <si>
    <t>Felike Damper</t>
  </si>
  <si>
    <t>Laurent Linne</t>
  </si>
  <si>
    <t>ORD-165</t>
  </si>
  <si>
    <t>07/17/2024</t>
  </si>
  <si>
    <t>ORD-166</t>
  </si>
  <si>
    <t>05/18/2024</t>
  </si>
  <si>
    <t>Yehudi Wearn</t>
  </si>
  <si>
    <t>ORD-167</t>
  </si>
  <si>
    <t>ORD-168</t>
  </si>
  <si>
    <t>Vanya Luberto</t>
  </si>
  <si>
    <t>ORD-169</t>
  </si>
  <si>
    <t>06/27/2024</t>
  </si>
  <si>
    <t>Umberto Egle</t>
  </si>
  <si>
    <t>ORD-170</t>
  </si>
  <si>
    <t>ORD-171</t>
  </si>
  <si>
    <t>ORD-172</t>
  </si>
  <si>
    <t>10/28/2024</t>
  </si>
  <si>
    <t>ORD-173</t>
  </si>
  <si>
    <t>Scot McDyer</t>
  </si>
  <si>
    <t>ORD-174</t>
  </si>
  <si>
    <t>ORD-175</t>
  </si>
  <si>
    <t>10/27/2024</t>
  </si>
  <si>
    <t>Sandor Arrundale</t>
  </si>
  <si>
    <t>Dud Randle</t>
  </si>
  <si>
    <t>ORD-176</t>
  </si>
  <si>
    <t>04/22/2024</t>
  </si>
  <si>
    <t>Ritchie Chaulk</t>
  </si>
  <si>
    <t>ORD-177</t>
  </si>
  <si>
    <t>ORD-178</t>
  </si>
  <si>
    <t>ORD-179</t>
  </si>
  <si>
    <t>Philippe Klempke</t>
  </si>
  <si>
    <t>Nicolette Snoad</t>
  </si>
  <si>
    <t>ORD-180</t>
  </si>
  <si>
    <t>ORD-181</t>
  </si>
  <si>
    <t>Nerta Daniel</t>
  </si>
  <si>
    <t>ORD-182</t>
  </si>
  <si>
    <t>Minnaminnie Wallice</t>
  </si>
  <si>
    <t>ORD-183</t>
  </si>
  <si>
    <t>ORD-184</t>
  </si>
  <si>
    <t>Marieann Derdes</t>
  </si>
  <si>
    <t>ORD-185</t>
  </si>
  <si>
    <t>ORD-186</t>
  </si>
  <si>
    <t>04/20/2024</t>
  </si>
  <si>
    <t>Jaimie Dickey</t>
  </si>
  <si>
    <t>Lorenzo Lowdwell</t>
  </si>
  <si>
    <t>ORD-187</t>
  </si>
  <si>
    <t>12/26/2024</t>
  </si>
  <si>
    <t>ORD-188</t>
  </si>
  <si>
    <t>05/21/2024</t>
  </si>
  <si>
    <t>Kliment Jencken</t>
  </si>
  <si>
    <t>ORD-189</t>
  </si>
  <si>
    <t>ORD-190</t>
  </si>
  <si>
    <t>Kathlin Gewer</t>
  </si>
  <si>
    <t>Katheryn Binfield</t>
  </si>
  <si>
    <t>ORD-191</t>
  </si>
  <si>
    <t>11/22/2024</t>
  </si>
  <si>
    <t>Karil Garthside</t>
  </si>
  <si>
    <t>ORD-192</t>
  </si>
  <si>
    <t>ORD-193</t>
  </si>
  <si>
    <t>07/22/2024</t>
  </si>
  <si>
    <t>ORD-194</t>
  </si>
  <si>
    <t>03/26/2024</t>
  </si>
  <si>
    <t>Jesus Ferenc</t>
  </si>
  <si>
    <t>ORD-195</t>
  </si>
  <si>
    <t>ORD-196</t>
  </si>
  <si>
    <t>09/30/2024</t>
  </si>
  <si>
    <t>Janek Shepperd</t>
  </si>
  <si>
    <t>ORD-197</t>
  </si>
  <si>
    <t>12/13/2024</t>
  </si>
  <si>
    <t>ORD-198</t>
  </si>
  <si>
    <t>10/20/2024</t>
  </si>
  <si>
    <t>ORD-199</t>
  </si>
  <si>
    <t>03/21/2024</t>
  </si>
  <si>
    <t>ORD-200</t>
  </si>
  <si>
    <t>07/26/2024</t>
  </si>
  <si>
    <t>ORD-201</t>
  </si>
  <si>
    <t>12/30/2024</t>
  </si>
  <si>
    <t>ORD-202</t>
  </si>
  <si>
    <t>ORD-203</t>
  </si>
  <si>
    <t>Herbie Anespie</t>
  </si>
  <si>
    <t>ORD-204</t>
  </si>
  <si>
    <t>Gillie Ojeda</t>
  </si>
  <si>
    <t>ORD-205</t>
  </si>
  <si>
    <t>Forrest Forton</t>
  </si>
  <si>
    <t>Flori Wanjek</t>
  </si>
  <si>
    <t>ORD-206</t>
  </si>
  <si>
    <t>08/20/2024</t>
  </si>
  <si>
    <t>ORD-207</t>
  </si>
  <si>
    <t>ORD-208</t>
  </si>
  <si>
    <t>01/25/2024</t>
  </si>
  <si>
    <t>ORD-209</t>
  </si>
  <si>
    <t>ORD-210</t>
  </si>
  <si>
    <t>01/30/2024</t>
  </si>
  <si>
    <t>Doralia Fagence</t>
  </si>
  <si>
    <t>ORD-211</t>
  </si>
  <si>
    <t>Darnall Rannells</t>
  </si>
  <si>
    <t>ORD-212</t>
  </si>
  <si>
    <t>ORD-213</t>
  </si>
  <si>
    <t>09/29/2024</t>
  </si>
  <si>
    <t>ORD-214</t>
  </si>
  <si>
    <t>ORD-215</t>
  </si>
  <si>
    <t>ORD-216</t>
  </si>
  <si>
    <t>10/14/2024</t>
  </si>
  <si>
    <t>ORD-217</t>
  </si>
  <si>
    <t>ORD-218</t>
  </si>
  <si>
    <t>08/27/2024</t>
  </si>
  <si>
    <t>ORD-219</t>
  </si>
  <si>
    <t>Bobette Rubens</t>
  </si>
  <si>
    <t>ORD-220</t>
  </si>
  <si>
    <t>Bibby Weblin</t>
  </si>
  <si>
    <t>ORD-221</t>
  </si>
  <si>
    <t>Batsheva Fielding</t>
  </si>
  <si>
    <t>ORD-222</t>
  </si>
  <si>
    <t>09/20/2024</t>
  </si>
  <si>
    <t>Barrie Byrom</t>
  </si>
  <si>
    <t>ORD-223</t>
  </si>
  <si>
    <t>Bancroft Rosle</t>
  </si>
  <si>
    <t>ORD-224</t>
  </si>
  <si>
    <t>Alberik Bradick</t>
  </si>
  <si>
    <t>ORD-225</t>
  </si>
  <si>
    <t>06/19/2024</t>
  </si>
  <si>
    <t>Arluene Powderham</t>
  </si>
  <si>
    <t>ORD-226</t>
  </si>
  <si>
    <t>ORD-227</t>
  </si>
  <si>
    <t>04/13/2024</t>
  </si>
  <si>
    <t>ORD-228</t>
  </si>
  <si>
    <t>Alexio Wiltsher</t>
  </si>
  <si>
    <t>ORD-229</t>
  </si>
  <si>
    <t>08/28/2024</t>
  </si>
  <si>
    <t>ORD-230</t>
  </si>
  <si>
    <t>Abbe Hailwood</t>
  </si>
  <si>
    <t>02/17/2024</t>
  </si>
  <si>
    <t>ORD-231</t>
  </si>
  <si>
    <t>ORD-232</t>
  </si>
  <si>
    <t>ORD-233</t>
  </si>
  <si>
    <t>ORD-234</t>
  </si>
  <si>
    <t>ORD-235</t>
  </si>
  <si>
    <t>ORD-236</t>
  </si>
  <si>
    <t>ORD-237</t>
  </si>
  <si>
    <t>03/20/2024</t>
  </si>
  <si>
    <t>ORD-238</t>
  </si>
  <si>
    <t>02/21/2024</t>
  </si>
  <si>
    <t>ORD-239</t>
  </si>
  <si>
    <t>ORD-240</t>
  </si>
  <si>
    <t>ORD-241</t>
  </si>
  <si>
    <t>ORD-242</t>
  </si>
  <si>
    <t>ORD-243</t>
  </si>
  <si>
    <t>01/16/2024</t>
  </si>
  <si>
    <t>ORD-244</t>
  </si>
  <si>
    <t>12/14/2024</t>
  </si>
  <si>
    <t>ORD-245</t>
  </si>
  <si>
    <t>ORD-246</t>
  </si>
  <si>
    <t>12/19/2024</t>
  </si>
  <si>
    <t>ORD-247</t>
  </si>
  <si>
    <t>ORD-248</t>
  </si>
  <si>
    <t>ORD-249</t>
  </si>
  <si>
    <t>04/28/2024</t>
  </si>
  <si>
    <t>ORD-250</t>
  </si>
  <si>
    <t>ORD-251</t>
  </si>
  <si>
    <t>ORD-252</t>
  </si>
  <si>
    <t>ORD-253</t>
  </si>
  <si>
    <t>ORD-254</t>
  </si>
  <si>
    <t>ORD-255</t>
  </si>
  <si>
    <t>ORD-256</t>
  </si>
  <si>
    <t>12/28/2024</t>
  </si>
  <si>
    <t>ORD-257</t>
  </si>
  <si>
    <t>ORD-258</t>
  </si>
  <si>
    <t>ORD-259</t>
  </si>
  <si>
    <t>03/31/2024</t>
  </si>
  <si>
    <t>ORD-260</t>
  </si>
  <si>
    <t>ORD-261</t>
  </si>
  <si>
    <t>ORD-262</t>
  </si>
  <si>
    <t>ORD-263</t>
  </si>
  <si>
    <t>ORD-264</t>
  </si>
  <si>
    <t>ORD-265</t>
  </si>
  <si>
    <t>ORD-266</t>
  </si>
  <si>
    <t>02/22/2024</t>
  </si>
  <si>
    <t>ORD-267</t>
  </si>
  <si>
    <t>ORD-268</t>
  </si>
  <si>
    <t>ORD-269</t>
  </si>
  <si>
    <t>ORD-270</t>
  </si>
  <si>
    <t>10/19/2024</t>
  </si>
  <si>
    <t>ORD-271</t>
  </si>
  <si>
    <t>07/30/2024</t>
  </si>
  <si>
    <t>ORD-272</t>
  </si>
  <si>
    <t>05/31/2024</t>
  </si>
  <si>
    <t>ORD-273</t>
  </si>
  <si>
    <t>ORD-274</t>
  </si>
  <si>
    <t>COUNTA of Order no.</t>
  </si>
  <si>
    <t>ORD-275</t>
  </si>
  <si>
    <t>ORD-276</t>
  </si>
  <si>
    <t>ORD-277</t>
  </si>
  <si>
    <t>ORD-278</t>
  </si>
  <si>
    <t>ORD-279</t>
  </si>
  <si>
    <t>03/22/2024</t>
  </si>
  <si>
    <t>ORD-280</t>
  </si>
  <si>
    <t>ORD-281</t>
  </si>
  <si>
    <t>ORD-282</t>
  </si>
  <si>
    <t>ORD-283</t>
  </si>
  <si>
    <t>ORD-284</t>
  </si>
  <si>
    <t>ORD-285</t>
  </si>
  <si>
    <t>04/25/2024</t>
  </si>
  <si>
    <t>ORD-286</t>
  </si>
  <si>
    <t>03/16/2024</t>
  </si>
  <si>
    <t>ORD-287</t>
  </si>
  <si>
    <t>01/26/2024</t>
  </si>
  <si>
    <t>ORD-288</t>
  </si>
  <si>
    <t>06/17/2024</t>
  </si>
  <si>
    <t>ORD-289</t>
  </si>
  <si>
    <t>ORD-290</t>
  </si>
  <si>
    <t>ORD-291</t>
  </si>
  <si>
    <t>03/14/2024</t>
  </si>
  <si>
    <t>ORD-292</t>
  </si>
  <si>
    <t>ORD-293</t>
  </si>
  <si>
    <t>ORD-294</t>
  </si>
  <si>
    <t>ORD-295</t>
  </si>
  <si>
    <t>ORD-296</t>
  </si>
  <si>
    <t>02/26/2024</t>
  </si>
  <si>
    <t>ORD-297</t>
  </si>
  <si>
    <t>ORD-298</t>
  </si>
  <si>
    <t>12/25/2024</t>
  </si>
  <si>
    <t>ORD-299</t>
  </si>
  <si>
    <t>ORD-300</t>
  </si>
  <si>
    <t>02/25/2024</t>
  </si>
  <si>
    <t>Total Revenue</t>
  </si>
  <si>
    <t>Total Orders</t>
  </si>
  <si>
    <t>Best Salesperson</t>
  </si>
  <si>
    <t>Return Rate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</si>
</sst>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sz val="36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2" fontId="2" numFmtId="0" xfId="0" applyAlignment="1" applyFill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49" xfId="0" applyAlignment="1" applyFont="1" applyNumberFormat="1">
      <alignment horizontal="center"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3" numFmtId="164" xfId="0" applyAlignment="1" applyFont="1" applyNumberFormat="1">
      <alignment horizontal="center" readingOrder="0"/>
    </xf>
    <xf borderId="0" fillId="3" fontId="2" numFmtId="0" xfId="0" applyAlignment="1" applyFill="1" applyFont="1">
      <alignment horizont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3" fontId="2" numFmtId="0" xfId="0" applyAlignment="1" applyFont="1">
      <alignment horizontal="center" readingOrder="0"/>
    </xf>
    <xf borderId="0" fillId="0" fontId="3" numFmtId="49" xfId="0" applyAlignment="1" applyFont="1" applyNumberFormat="1">
      <alignment horizontal="center" readingOrder="0"/>
    </xf>
    <xf borderId="0" fillId="0" fontId="3" numFmtId="0" xfId="0" applyFont="1"/>
    <xf borderId="0" fillId="0" fontId="3" numFmtId="49" xfId="0" applyAlignment="1" applyFont="1" applyNumberFormat="1">
      <alignment horizontal="center"/>
    </xf>
    <xf borderId="0" fillId="0" fontId="3" numFmtId="49" xfId="0" applyFont="1" applyNumberFormat="1"/>
    <xf borderId="0" fillId="0" fontId="1" numFmtId="0" xfId="0" applyAlignment="1" applyFont="1">
      <alignment horizontal="center"/>
    </xf>
    <xf borderId="0" fillId="0" fontId="3" numFmtId="164" xfId="0" applyAlignment="1" applyFont="1" applyNumberFormat="1">
      <alignment horizontal="center"/>
    </xf>
    <xf borderId="0" fillId="4" fontId="4" numFmtId="0" xfId="0" applyAlignment="1" applyFill="1" applyFont="1">
      <alignment horizontal="center" readingOrder="0"/>
    </xf>
    <xf borderId="0" fillId="4" fontId="4" numFmtId="49" xfId="0" applyAlignment="1" applyFont="1" applyNumberFormat="1">
      <alignment horizontal="center" readingOrder="0"/>
    </xf>
    <xf borderId="0" fillId="4" fontId="3" numFmtId="0" xfId="0" applyAlignment="1" applyFont="1">
      <alignment horizontal="center"/>
    </xf>
    <xf borderId="0" fillId="5" fontId="4" numFmtId="0" xfId="0" applyAlignment="1" applyFill="1" applyFont="1">
      <alignment horizontal="center" readingOrder="0"/>
    </xf>
    <xf borderId="0" fillId="5" fontId="4" numFmtId="0" xfId="0" applyAlignment="1" applyFont="1">
      <alignment horizontal="center"/>
    </xf>
    <xf borderId="0" fillId="5" fontId="4" numFmtId="9" xfId="0" applyAlignment="1" applyFont="1" applyNumberFormat="1">
      <alignment horizontal="center" readingOrder="0"/>
    </xf>
    <xf borderId="0" fillId="4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Month Number, East, North, South, West…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Region_Month!$A$1:$A$2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Region_Month!$B$3:$B$14</c:f>
            </c:strRef>
          </c:cat>
          <c:val>
            <c:numRef>
              <c:f>Region_Month!$A$3:$A$14</c:f>
              <c:numCache/>
            </c:numRef>
          </c:val>
        </c:ser>
        <c:ser>
          <c:idx val="1"/>
          <c:order val="1"/>
          <c:tx>
            <c:strRef>
              <c:f>Region_Month!$C$1:$C$2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Region_Month!$B$3:$B$14</c:f>
            </c:strRef>
          </c:cat>
          <c:val>
            <c:numRef>
              <c:f>Region_Month!$C$3:$C$14</c:f>
              <c:numCache/>
            </c:numRef>
          </c:val>
        </c:ser>
        <c:ser>
          <c:idx val="2"/>
          <c:order val="2"/>
          <c:tx>
            <c:strRef>
              <c:f>Region_Month!$D$1:$D$2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Region_Month!$B$3:$B$14</c:f>
            </c:strRef>
          </c:cat>
          <c:val>
            <c:numRef>
              <c:f>Region_Month!$D$3:$D$14</c:f>
              <c:numCache/>
            </c:numRef>
          </c:val>
        </c:ser>
        <c:ser>
          <c:idx val="3"/>
          <c:order val="3"/>
          <c:tx>
            <c:strRef>
              <c:f>Region_Month!$E$1:$E$2</c:f>
            </c:strRef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Region_Month!$B$3:$B$14</c:f>
            </c:strRef>
          </c:cat>
          <c:val>
            <c:numRef>
              <c:f>Region_Month!$E$3:$E$14</c:f>
              <c:numCache/>
            </c:numRef>
          </c:val>
        </c:ser>
        <c:ser>
          <c:idx val="4"/>
          <c:order val="4"/>
          <c:tx>
            <c:strRef>
              <c:f>Region_Month!$F$1:$F$2</c:f>
            </c:strRef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Region_Month!$B$3:$B$14</c:f>
            </c:strRef>
          </c:cat>
          <c:val>
            <c:numRef>
              <c:f>Region_Month!$F$3:$F$14</c:f>
              <c:numCache/>
            </c:numRef>
          </c:val>
        </c:ser>
        <c:ser>
          <c:idx val="5"/>
          <c:order val="5"/>
          <c:tx>
            <c:strRef>
              <c:f>Region_Month!$G$1:$G$2</c:f>
            </c:strRef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Region_Month!$B$3:$B$14</c:f>
            </c:strRef>
          </c:cat>
          <c:val>
            <c:numRef>
              <c:f>Region_Month!$G$3:$G$14</c:f>
              <c:numCache/>
            </c:numRef>
          </c:val>
        </c:ser>
        <c:overlap val="100"/>
        <c:axId val="1334342707"/>
        <c:axId val="65312257"/>
      </c:barChart>
      <c:catAx>
        <c:axId val="13343427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312257"/>
      </c:catAx>
      <c:valAx>
        <c:axId val="653122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434270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ocumenttasks/documenttask1.xml><?xml version="1.0" encoding="utf-8"?>
<Tasks xmlns="http://schemas.microsoft.com/office/tasks/2019/documenttasks"/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image" Target="../media/Chart3.png"/><Relationship Id="rId4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342900</xdr:colOff>
      <xdr:row>16</xdr:row>
      <xdr:rowOff>142875</xdr:rowOff>
    </xdr:from>
    <xdr:ext cx="8686800" cy="3581400"/>
    <xdr:pic>
      <xdr:nvPicPr>
        <xdr:cNvPr id="115668078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16</xdr:row>
      <xdr:rowOff>142875</xdr:rowOff>
    </xdr:from>
    <xdr:ext cx="8686800" cy="3581400"/>
    <xdr:pic>
      <xdr:nvPicPr>
        <xdr:cNvPr id="1723427060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37</xdr:row>
      <xdr:rowOff>171450</xdr:rowOff>
    </xdr:from>
    <xdr:ext cx="8686800" cy="3581400"/>
    <xdr:pic>
      <xdr:nvPicPr>
        <xdr:cNvPr id="1146716819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342900</xdr:colOff>
      <xdr:row>38</xdr:row>
      <xdr:rowOff>0</xdr:rowOff>
    </xdr:from>
    <xdr:ext cx="86868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</xdr:col>
      <xdr:colOff>2438400</xdr:colOff>
      <xdr:row>0</xdr:row>
      <xdr:rowOff>171450</xdr:rowOff>
    </xdr:from>
    <xdr:ext cx="8953500" cy="1438275"/>
    <xdr:sp>
      <xdr:nvSpPr>
        <xdr:cNvPr id="3" name="Shape 3"/>
        <xdr:cNvSpPr txBox="1"/>
      </xdr:nvSpPr>
      <xdr:spPr>
        <a:xfrm>
          <a:off x="2081225" y="697725"/>
          <a:ext cx="8368800" cy="738900"/>
        </a:xfrm>
        <a:prstGeom prst="rect">
          <a:avLst/>
        </a:prstGeom>
        <a:solidFill>
          <a:srgbClr val="FF0000"/>
        </a:solidFill>
        <a:ln>
          <a:noFill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3600"/>
            <a:t>Sales Performance Dashboard 2024</a:t>
          </a:r>
          <a:endParaRPr sz="36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Ashutosh Bhatt" id="{273c6a0e-a2c8-4705-a6af-91439153e9ec}" providerId="google-sheets"/>
</x18tc:personList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M1000" sheet="Sales"/>
  </cacheSource>
  <cacheFields>
    <cacheField name="Order no." numFmtId="0">
      <sharedItems containsBlank="1">
        <s v="ORD-1"/>
        <s v="ORD-2"/>
        <s v="ORD-3"/>
        <s v="ORD-4"/>
        <s v="ORD-5"/>
        <s v="ORD-6"/>
        <s v="ORD-7"/>
        <s v="ORD-8"/>
        <s v="ORD-9"/>
        <s v="ORD-10"/>
        <s v="ORD-11"/>
        <s v="ORD-12"/>
        <s v="ORD-13"/>
        <s v="ORD-14"/>
        <s v="ORD-15"/>
        <s v="ORD-16"/>
        <s v="ORD-17"/>
        <s v="ORD-18"/>
        <s v="ORD-19"/>
        <s v="ORD-20"/>
        <s v="ORD-21"/>
        <s v="ORD-22"/>
        <s v="ORD-23"/>
        <s v="ORD-24"/>
        <s v="ORD-25"/>
        <s v="ORD-26"/>
        <s v="ORD-27"/>
        <s v="ORD-28"/>
        <s v="ORD-29"/>
        <s v="ORD-30"/>
        <s v="ORD-31"/>
        <s v="ORD-32"/>
        <s v="ORD-33"/>
        <s v="ORD-34"/>
        <s v="ORD-35"/>
        <s v="ORD-36"/>
        <s v="ORD-37"/>
        <s v="ORD-38"/>
        <s v="ORD-39"/>
        <s v="ORD-40"/>
        <s v="ORD-41"/>
        <s v="ORD-42"/>
        <s v="ORD-43"/>
        <s v="ORD-44"/>
        <s v="ORD-45"/>
        <s v="ORD-46"/>
        <s v="ORD-47"/>
        <s v="ORD-48"/>
        <s v="ORD-49"/>
        <s v="ORD-50"/>
        <s v="ORD-51"/>
        <s v="ORD-52"/>
        <s v="ORD-53"/>
        <s v="ORD-54"/>
        <s v="ORD-55"/>
        <s v="ORD-56"/>
        <s v="ORD-57"/>
        <s v="ORD-58"/>
        <s v="ORD-59"/>
        <s v="ORD-60"/>
        <s v="ORD-61"/>
        <s v="ORD-62"/>
        <s v="ORD-63"/>
        <s v="ORD-64"/>
        <s v="ORD-65"/>
        <s v="ORD-66"/>
        <s v="ORD-67"/>
        <s v="ORD-68"/>
        <s v="ORD-69"/>
        <s v="ORD-70"/>
        <s v="ORD-71"/>
        <s v="ORD-72"/>
        <s v="ORD-73"/>
        <s v="ORD-74"/>
        <s v="ORD-75"/>
        <s v="ORD-76"/>
        <s v="ORD-77"/>
        <s v="ORD-78"/>
        <s v="ORD-79"/>
        <s v="ORD-80"/>
        <s v="ORD-81"/>
        <s v="ORD-82"/>
        <s v="ORD-83"/>
        <s v="ORD-84"/>
        <s v="ORD-85"/>
        <s v="ORD-86"/>
        <s v="ORD-87"/>
        <s v="ORD-88"/>
        <s v="ORD-89"/>
        <s v="ORD-90"/>
        <s v="ORD-91"/>
        <s v="ORD-92"/>
        <s v="ORD-93"/>
        <s v="ORD-94"/>
        <s v="ORD-95"/>
        <s v="ORD-96"/>
        <s v="ORD-97"/>
        <s v="ORD-98"/>
        <s v="ORD-99"/>
        <s v="ORD-100"/>
        <s v="ORD-101"/>
        <s v="ORD-102"/>
        <s v="ORD-103"/>
        <s v="ORD-104"/>
        <s v="ORD-105"/>
        <s v="ORD-106"/>
        <s v="ORD-107"/>
        <s v="ORD-108"/>
        <s v="ORD-109"/>
        <s v="ORD-110"/>
        <s v="ORD-111"/>
        <s v="ORD-112"/>
        <s v="ORD-113"/>
        <s v="ORD-114"/>
        <s v="ORD-115"/>
        <s v="ORD-116"/>
        <s v="ORD-117"/>
        <s v="ORD-118"/>
        <s v="ORD-119"/>
        <s v="ORD-120"/>
        <s v="ORD-121"/>
        <s v="ORD-122"/>
        <s v="ORD-123"/>
        <s v="ORD-124"/>
        <s v="ORD-125"/>
        <s v="ORD-126"/>
        <s v="ORD-127"/>
        <s v="ORD-128"/>
        <s v="ORD-129"/>
        <s v="ORD-130"/>
        <s v="ORD-131"/>
        <s v="ORD-132"/>
        <s v="ORD-133"/>
        <s v="ORD-134"/>
        <s v="ORD-135"/>
        <s v="ORD-136"/>
        <s v="ORD-137"/>
        <s v="ORD-138"/>
        <s v="ORD-139"/>
        <s v="ORD-140"/>
        <s v="ORD-141"/>
        <s v="ORD-142"/>
        <s v="ORD-143"/>
        <s v="ORD-144"/>
        <s v="ORD-145"/>
        <s v="ORD-146"/>
        <s v="ORD-147"/>
        <s v="ORD-148"/>
        <s v="ORD-149"/>
        <s v="ORD-150"/>
        <s v="ORD-151"/>
        <s v="ORD-152"/>
        <s v="ORD-153"/>
        <s v="ORD-154"/>
        <s v="ORD-155"/>
        <s v="ORD-156"/>
        <s v="ORD-157"/>
        <s v="ORD-158"/>
        <s v="ORD-159"/>
        <s v="ORD-160"/>
        <s v="ORD-161"/>
        <s v="ORD-162"/>
        <s v="ORD-163"/>
        <s v="ORD-164"/>
        <s v="ORD-165"/>
        <s v="ORD-166"/>
        <s v="ORD-167"/>
        <s v="ORD-168"/>
        <s v="ORD-169"/>
        <s v="ORD-170"/>
        <s v="ORD-171"/>
        <s v="ORD-172"/>
        <s v="ORD-173"/>
        <s v="ORD-174"/>
        <s v="ORD-175"/>
        <s v="ORD-176"/>
        <s v="ORD-177"/>
        <s v="ORD-178"/>
        <s v="ORD-179"/>
        <s v="ORD-180"/>
        <s v="ORD-181"/>
        <s v="ORD-182"/>
        <s v="ORD-183"/>
        <s v="ORD-184"/>
        <s v="ORD-185"/>
        <s v="ORD-186"/>
        <s v="ORD-187"/>
        <s v="ORD-188"/>
        <s v="ORD-189"/>
        <s v="ORD-190"/>
        <s v="ORD-191"/>
        <s v="ORD-192"/>
        <s v="ORD-193"/>
        <s v="ORD-194"/>
        <s v="ORD-195"/>
        <s v="ORD-196"/>
        <s v="ORD-197"/>
        <s v="ORD-198"/>
        <s v="ORD-199"/>
        <s v="ORD-200"/>
        <s v="ORD-201"/>
        <s v="ORD-202"/>
        <s v="ORD-203"/>
        <s v="ORD-204"/>
        <s v="ORD-205"/>
        <s v="ORD-206"/>
        <s v="ORD-207"/>
        <s v="ORD-208"/>
        <s v="ORD-209"/>
        <s v="ORD-210"/>
        <s v="ORD-211"/>
        <s v="ORD-212"/>
        <s v="ORD-213"/>
        <s v="ORD-214"/>
        <s v="ORD-215"/>
        <s v="ORD-216"/>
        <s v="ORD-217"/>
        <s v="ORD-218"/>
        <s v="ORD-219"/>
        <s v="ORD-220"/>
        <s v="ORD-221"/>
        <s v="ORD-222"/>
        <s v="ORD-223"/>
        <s v="ORD-224"/>
        <s v="ORD-225"/>
        <s v="ORD-226"/>
        <s v="ORD-227"/>
        <s v="ORD-228"/>
        <s v="ORD-229"/>
        <s v="ORD-230"/>
        <s v="ORD-231"/>
        <s v="ORD-232"/>
        <s v="ORD-233"/>
        <s v="ORD-234"/>
        <s v="ORD-235"/>
        <s v="ORD-236"/>
        <s v="ORD-237"/>
        <s v="ORD-238"/>
        <s v="ORD-239"/>
        <s v="ORD-240"/>
        <s v="ORD-241"/>
        <s v="ORD-242"/>
        <s v="ORD-243"/>
        <s v="ORD-244"/>
        <s v="ORD-245"/>
        <s v="ORD-246"/>
        <s v="ORD-247"/>
        <s v="ORD-248"/>
        <s v="ORD-249"/>
        <s v="ORD-250"/>
        <s v="ORD-251"/>
        <s v="ORD-252"/>
        <s v="ORD-253"/>
        <s v="ORD-254"/>
        <s v="ORD-255"/>
        <s v="ORD-256"/>
        <s v="ORD-257"/>
        <s v="ORD-258"/>
        <s v="ORD-259"/>
        <s v="ORD-260"/>
        <s v="ORD-261"/>
        <s v="ORD-262"/>
        <s v="ORD-263"/>
        <s v="ORD-264"/>
        <s v="ORD-265"/>
        <s v="ORD-266"/>
        <s v="ORD-267"/>
        <s v="ORD-268"/>
        <s v="ORD-269"/>
        <s v="ORD-270"/>
        <s v="ORD-271"/>
        <s v="ORD-272"/>
        <s v="ORD-273"/>
        <s v="ORD-274"/>
        <s v="ORD-275"/>
        <s v="ORD-276"/>
        <s v="ORD-277"/>
        <s v="ORD-278"/>
        <s v="ORD-279"/>
        <s v="ORD-280"/>
        <s v="ORD-281"/>
        <s v="ORD-282"/>
        <s v="ORD-283"/>
        <s v="ORD-284"/>
        <s v="ORD-285"/>
        <s v="ORD-286"/>
        <s v="ORD-287"/>
        <s v="ORD-288"/>
        <s v="ORD-289"/>
        <s v="ORD-290"/>
        <s v="ORD-291"/>
        <s v="ORD-292"/>
        <s v="ORD-293"/>
        <s v="ORD-294"/>
        <s v="ORD-295"/>
        <s v="ORD-296"/>
        <s v="ORD-297"/>
        <s v="ORD-298"/>
        <s v="ORD-299"/>
        <s v="ORD-300"/>
        <m/>
      </sharedItems>
    </cacheField>
    <cacheField name="Date">
      <sharedItems containsDate="1" containsBlank="1" containsMixedTypes="1">
        <s v="11/30/2024"/>
        <s v="07/29/2024"/>
        <s v="04/14/2024"/>
        <d v="2024-08-03T00:00:00Z"/>
        <s v="07/31/2024"/>
        <d v="2024-12-03T00:00:00Z"/>
        <s v="10/22/2024"/>
        <s v="06/16/2024"/>
        <s v="02/15/2024"/>
        <d v="2024-06-04T00:00:00Z"/>
        <d v="2024-03-01T00:00:00Z"/>
        <s v="09/21/2024"/>
        <d v="2024-01-06T00:00:00Z"/>
        <s v="12/15/2024"/>
        <s v="11/20/2024"/>
        <d v="2024-11-06T00:00:00Z"/>
        <s v="12/29/2024"/>
        <s v="01/14/2024"/>
        <s v="12/23/2024"/>
        <s v="04/26/2024"/>
        <s v="10/24/2024"/>
        <s v="09/18/2024"/>
        <s v="03/29/2024"/>
        <d v="2024-08-08T00:00:00Z"/>
        <d v="2024-03-04T00:00:00Z"/>
        <s v="03/23/2024"/>
        <d v="2024-01-07T00:00:00Z"/>
        <d v="2024-02-01T00:00:00Z"/>
        <s v="01/27/2024"/>
        <d v="2024-05-12T00:00:00Z"/>
        <s v="03/25/2024"/>
        <s v="10/31/2024"/>
        <d v="2024-02-09T00:00:00Z"/>
        <d v="2024-11-05T00:00:00Z"/>
        <s v="08/25/2024"/>
        <d v="2024-11-02T00:00:00Z"/>
        <s v="04/29/2024"/>
        <s v="11/14/2024"/>
        <s v="08/13/2024"/>
        <d v="2024-08-06T00:00:00Z"/>
        <s v="01/31/2024"/>
        <s v="08/15/2024"/>
        <s v="10/13/2024"/>
        <d v="2024-02-08T00:00:00Z"/>
        <s v="02/14/2024"/>
        <s v="01/24/2024"/>
        <d v="2024-10-05T00:00:00Z"/>
        <d v="2024-08-11T00:00:00Z"/>
        <s v="10/23/2024"/>
        <d v="2024-10-03T00:00:00Z"/>
        <d v="2024-12-12T00:00:00Z"/>
        <s v="08/23/2024"/>
        <s v="09/24/2024"/>
        <s v="01/22/2024"/>
        <s v="05/25/2024"/>
        <s v="02/20/2024"/>
        <d v="2024-05-03T00:00:00Z"/>
        <d v="2024-10-06T00:00:00Z"/>
        <s v="06/14/2024"/>
        <d v="2024-01-10T00:00:00Z"/>
        <d v="2024-12-07T00:00:00Z"/>
        <s v="12/20/2024"/>
        <d v="2024-10-01T00:00:00Z"/>
        <d v="2024-06-01T00:00:00Z"/>
        <s v="11/27/2024"/>
        <s v="06/28/2024"/>
        <d v="2024-02-10T00:00:00Z"/>
        <s v="05/30/2024"/>
        <s v="11/25/2024"/>
        <d v="2024-07-09T00:00:00Z"/>
        <d v="2024-12-05T00:00:00Z"/>
        <d v="2024-12-06T00:00:00Z"/>
        <s v="08/14/2024"/>
        <d v="2024-09-12T00:00:00Z"/>
        <d v="2024-07-10T00:00:00Z"/>
        <s v="10/29/2024"/>
        <d v="2024-04-02T00:00:00Z"/>
        <s v="05/20/2024"/>
        <s v="09/13/2024"/>
        <s v="03/24/2024"/>
        <s v="05/24/2024"/>
        <d v="2024-06-05T00:00:00Z"/>
        <s v="11/29/2024"/>
        <s v="11/24/2024"/>
        <s v="09/16/2024"/>
        <d v="2024-12-04T00:00:00Z"/>
        <s v="01/29/2024"/>
        <d v="2024-09-05T00:00:00Z"/>
        <d v="2024-12-10T00:00:00Z"/>
        <s v="07/23/2024"/>
        <d v="2024-12-02T00:00:00Z"/>
        <s v="11/26/2024"/>
        <s v="02/16/2024"/>
        <s v="09/23/2024"/>
        <s v="06/22/2024"/>
        <d v="2024-06-09T00:00:00Z"/>
        <s v="07/13/2024"/>
        <s v="02/13/2024"/>
        <d v="2024-12-08T00:00:00Z"/>
        <d v="2024-05-10T00:00:00Z"/>
        <d v="2024-05-07T00:00:00Z"/>
        <d v="2024-10-02T00:00:00Z"/>
        <d v="2024-09-04T00:00:00Z"/>
        <s v="03/13/2024"/>
        <s v="01/28/2024"/>
        <s v="05/14/2024"/>
        <d v="2024-11-01T00:00:00Z"/>
        <d v="2024-11-10T00:00:00Z"/>
        <s v="01/17/2024"/>
        <d v="2024-03-07T00:00:00Z"/>
        <s v="09/14/2024"/>
        <s v="12/24/2024"/>
        <s v="02/28/2024"/>
        <d v="2024-02-07T00:00:00Z"/>
        <d v="2024-06-08T00:00:00Z"/>
        <s v="04/15/2024"/>
        <d v="2024-03-12T00:00:00Z"/>
        <d v="2024-12-01T00:00:00Z"/>
        <d v="2024-03-11T00:00:00Z"/>
        <s v="11/16/2024"/>
        <d v="2024-11-07T00:00:00Z"/>
        <s v="09/27/2024"/>
        <s v="09/22/2024"/>
        <d v="2024-04-09T00:00:00Z"/>
        <s v="08/18/2024"/>
        <d v="2024-05-09T00:00:00Z"/>
        <s v="06/13/2024"/>
        <s v="05/28/2024"/>
        <s v="07/27/2024"/>
        <d v="2024-05-01T00:00:00Z"/>
        <s v="02/27/2024"/>
        <s v="07/17/2024"/>
        <s v="05/18/2024"/>
        <d v="2024-07-06T00:00:00Z"/>
        <d v="2024-07-07T00:00:00Z"/>
        <s v="06/27/2024"/>
        <s v="10/28/2024"/>
        <d v="2024-03-05T00:00:00Z"/>
        <d v="2024-08-09T00:00:00Z"/>
        <s v="10/27/2024"/>
        <s v="04/22/2024"/>
        <d v="2024-09-09T00:00:00Z"/>
        <d v="2024-11-03T00:00:00Z"/>
        <d v="2024-11-09T00:00:00Z"/>
        <s v="04/20/2024"/>
        <s v="12/26/2024"/>
        <s v="05/21/2024"/>
        <s v="11/22/2024"/>
        <d v="2024-08-12T00:00:00Z"/>
        <s v="07/22/2024"/>
        <s v="03/26/2024"/>
        <s v="09/30/2024"/>
        <s v="12/13/2024"/>
        <s v="10/20/2024"/>
        <s v="03/21/2024"/>
        <s v="07/26/2024"/>
        <s v="12/30/2024"/>
        <d v="2024-06-02T00:00:00Z"/>
        <s v="08/20/2024"/>
        <d v="2024-02-04T00:00:00Z"/>
        <s v="01/25/2024"/>
        <s v="01/30/2024"/>
        <d v="2024-04-11T00:00:00Z"/>
        <d v="2024-03-03T00:00:00Z"/>
        <s v="09/29/2024"/>
        <s v="10/14/2024"/>
        <d v="2024-07-02T00:00:00Z"/>
        <s v="08/27/2024"/>
        <d v="2024-11-12T00:00:00Z"/>
        <s v="09/20/2024"/>
        <d v="2024-10-10T00:00:00Z"/>
        <s v="06/19/2024"/>
        <s v="04/13/2024"/>
        <s v="08/28/2024"/>
        <s v="02/17/2024"/>
        <d v="2024-08-10T00:00:00Z"/>
        <s v="03/20/2024"/>
        <s v="02/21/2024"/>
        <d v="2024-07-04T00:00:00Z"/>
        <s v="01/16/2024"/>
        <s v="12/14/2024"/>
        <d v="2024-06-12T00:00:00Z"/>
        <s v="12/19/2024"/>
        <s v="04/28/2024"/>
        <d v="2024-03-08T00:00:00Z"/>
        <d v="2024-02-05T00:00:00Z"/>
        <s v="12/28/2024"/>
        <s v="03/31/2024"/>
        <d v="2024-06-10T00:00:00Z"/>
        <s v="02/22/2024"/>
        <d v="2024-09-11T00:00:00Z"/>
        <s v="10/19/2024"/>
        <s v="07/30/2024"/>
        <s v="05/31/2024"/>
        <d v="2024-04-08T00:00:00Z"/>
        <s v="03/22/2024"/>
        <d v="2024-08-05T00:00:00Z"/>
        <s v="04/25/2024"/>
        <s v="03/16/2024"/>
        <s v="01/26/2024"/>
        <s v="06/17/2024"/>
        <d v="2024-03-10T00:00:00Z"/>
        <s v="03/14/2024"/>
        <s v="02/26/2024"/>
        <s v="12/25/2024"/>
        <s v="02/25/2024"/>
        <m/>
      </sharedItems>
    </cacheField>
    <cacheField name="Region" numFmtId="0">
      <sharedItems containsBlank="1">
        <s v="East"/>
        <s v="West"/>
        <s v="South"/>
        <s v="North"/>
        <m/>
      </sharedItems>
    </cacheField>
    <cacheField name="Salesperson" numFmtId="0">
      <sharedItems containsBlank="1">
        <s v="Drusie Stedmond"/>
        <s v="Piggy Charlewood"/>
        <s v="Duky Ronisch"/>
        <s v="Gabe Howell"/>
        <s v="Burr Jago"/>
        <s v="Wenonah Hallatt"/>
        <s v="Lurette Heavyside"/>
        <s v="Malcolm Poulsum"/>
        <s v="Carr Prisley"/>
        <s v="Chickie Dayley"/>
        <s v="Annalise Plowman"/>
        <s v="Janessa Bladder"/>
        <s v="Orrin Suarez"/>
        <s v="Fallon Simonassi"/>
        <s v="Bobinette Lakenton"/>
        <s v="Elisabeth Give"/>
        <s v="Meggi Bodechon"/>
        <s v="Lorrie Rogers"/>
        <s v="Avictor Curreen"/>
        <s v="Zilvia Muat"/>
        <s v="Bradley Wiggins"/>
        <s v="Carey Oloshin"/>
        <s v="Moreen Yeldham"/>
        <s v="Trula Cobbin"/>
        <s v="Lizette Hadye"/>
        <s v="Fey Walworth"/>
        <s v="Casper Tixall"/>
        <s v="Chance Abbiss"/>
        <s v="Kelley Carren"/>
        <s v="Royal Madner"/>
        <s v="Christoper Maevela"/>
        <s v="Torrie Targett"/>
        <s v="Griffin Showl"/>
        <s v="Eldredge Hair"/>
        <s v="Gaspard Obbard"/>
        <s v="Clari Pablo"/>
        <s v="Bordy Morilla"/>
        <s v="Giustino Thorne"/>
        <s v="Winnifred Pocklington"/>
        <s v="Humfrid Brockman"/>
        <s v="Cosme Leonida"/>
        <s v="Tomas Wybourne"/>
        <s v="Mufinella Liversley"/>
        <s v="Emmett Coode"/>
        <s v="Koenraad Kryszka"/>
        <s v="Jase Pallis"/>
        <s v="Ferris Corneille"/>
        <s v="Sigfrid Leyre"/>
        <s v="Alfie Edkins"/>
        <s v="Percival Licciardi"/>
        <s v="Tilda Warmisham"/>
        <s v="Stewart Yanukhin"/>
        <s v="Silvester Steiner"/>
        <s v="Calv Blackney"/>
        <s v="Nicola Killcross"/>
        <s v="Denys Amberger"/>
        <s v="Vally Nyles"/>
        <s v="Pincas Nutten"/>
        <s v="Kit Sheards"/>
        <s v="Frans Lickorish"/>
        <s v="Curcio Bondesen"/>
        <s v="Veronique Cajkler"/>
        <s v="Clare Frill"/>
        <s v="Corrina German"/>
        <s v="Hendrika Ivashintsov"/>
        <s v="Ewart Glasby"/>
        <s v="Balduin Mandifield"/>
        <s v="Kevin Penney"/>
        <s v="Arleyne Badham"/>
        <s v="Ian Spary"/>
        <s v="Herc Chalmers"/>
        <s v="Saul Rhymer"/>
        <s v="Nicolais MacCrossan"/>
        <s v="Osgood Claeskens"/>
        <s v="Patrick Klimt"/>
        <s v="Vic Hammond"/>
        <s v="Barb Minihan"/>
        <s v="Curtis Ashburner"/>
        <s v="Emlyn Borrowman"/>
        <s v="Vidovic Bonson"/>
        <s v="Octavius Steggals"/>
        <s v="Bobbee Hammerman"/>
        <s v="Mercie Lines"/>
        <s v="Giovanni Gostyke"/>
        <s v="Gabbey Christopher"/>
        <s v="Kendricks Keneforde"/>
        <s v="Trumaine Molloy"/>
        <s v="Brunhilde Jerke"/>
        <s v="Lamont Rosenstengel"/>
        <s v="Silvana McKirton"/>
        <s v="Chip Cathery"/>
        <s v="Anselm Oldacres"/>
        <s v="Robby Burnyeat"/>
        <s v="Gannie Pruckner"/>
        <s v="Essie Nossent"/>
        <s v="Fanny Smalman"/>
        <s v="Deeann Annets"/>
        <s v="Kristi Hoodless"/>
        <s v="Bil Ivanchov"/>
        <s v="Rozamond Dinnis"/>
        <s v="Josephina McAlinden"/>
        <s v="Clywd Winskill"/>
        <s v="Anita Hustler"/>
        <s v="Sammy Lovegrove"/>
        <s v="Mahmoud Riccione"/>
        <s v="Mattie Gilberthorpe"/>
        <s v="Cordula Boobier"/>
        <s v="Barn Rouch"/>
        <s v="Neda Maccaddie"/>
        <s v="Juanita Haugen"/>
        <s v="Jayme Raymont"/>
        <s v="Johan Saylor"/>
        <s v="Shelbi Mallison"/>
        <s v="Dorie Toghill"/>
        <s v="Kristi Iddison"/>
        <s v="Maury Breede"/>
        <s v="Janek Managh"/>
        <s v="Hermy Warnes"/>
        <s v="Rod Attoe"/>
        <s v="Britney Siddaley"/>
        <s v="Devi Schohier"/>
        <s v="Savina Skin"/>
        <s v="Wilfrid Boyford"/>
        <s v="Ronny Gumbrell"/>
        <s v="Karee Rossant"/>
        <s v="Truda Muneely"/>
        <s v="Maren Osichev"/>
        <s v="Babette Chavey"/>
        <s v="Jaquenette Glyne"/>
        <s v="Gradeigh Tinwell"/>
        <s v="Marissa Dempsey"/>
        <s v="Langsdon Tilburn"/>
        <s v="Quintus Christene"/>
        <s v="Roxie Arnall"/>
        <s v="Gregg Phlippsen"/>
        <s v="Jerry Evequot"/>
        <s v="Boniface Franz-Schoninger"/>
        <s v="Bili McVeighty"/>
        <s v="Raye Payle"/>
        <s v="Marietta Dahle"/>
        <s v="Ara Baulch"/>
        <s v="Aldwin Bernet"/>
        <s v="Stafani Ker"/>
        <s v="Jules Fasler"/>
        <s v="Dorene Lukovic"/>
        <s v="Beverley Overthrow"/>
        <s v="De witt Hastie"/>
        <s v="Gabi Forte"/>
        <s v="Susy Prydden"/>
        <s v="Kristine Self"/>
        <s v="Lisabeth Geharke"/>
        <s v="Saloma Gitting"/>
        <s v="Patrica Job"/>
        <s v="Guillermo Kiffin"/>
        <s v="Tybalt Gawler"/>
        <s v="Hurlee Garwood"/>
        <s v="D'arcy Lyptratt"/>
        <s v="Mattie Tolson"/>
        <s v="Savina Chaffe"/>
        <s v="Aylmar Varrow"/>
        <s v="Cindra Petken"/>
        <s v="Uta Freak"/>
        <s v="Sonnie Welling"/>
        <s v="Felike Damper"/>
        <s v="Laurent Linne"/>
        <s v="Godwin Screach"/>
        <s v="Emyle Titchmarsh"/>
        <s v="Neall Graalman"/>
        <s v="Vanya Luberto"/>
        <s v="Alison Vasyagin"/>
        <s v="Tessi Giacomuzzo"/>
        <s v="Douglas Messruther"/>
        <s v="Polly Ravenshear"/>
        <s v="Neddy Tellett"/>
        <s v="Dud Randle"/>
        <s v="Scot McDyer"/>
        <s v="Yehudi Wearn"/>
        <s v="Kelci Fehner"/>
        <s v="Christyna Daverin"/>
        <s v="Teddy Edwins"/>
        <s v="Myles Barringer"/>
        <s v="Marinna Dumini"/>
        <s v="Stavro Van Dale"/>
        <s v="Adel Matfin"/>
        <s v="Ritchie Chaulk"/>
        <s v="Jaimie Dickey"/>
        <s v="Judas Scanlon"/>
        <s v="Nikki Dunbavin"/>
        <s v="Lorenzo Lowdwell"/>
        <s v="Demetria Gwinn"/>
        <s v="Kingston Whodcoat"/>
        <s v="Katheryn Binfield"/>
        <s v="Fabian Scudder"/>
        <s v="Cori Assante"/>
        <s v="Giffie Rearie"/>
        <s v="Kathlin Gewer"/>
        <s v="Ainsley Wesley"/>
        <s v="Kip Stappard"/>
        <s v="Lura Tripney"/>
        <s v="Clyde Mousley"/>
        <s v="Sandor Arrundale"/>
        <s v="Laverna Blunsen"/>
        <s v="Idette Morfey"/>
        <s v="Gabbie Outright"/>
        <s v="Jonas Plowell"/>
        <s v="Rolando Laity"/>
        <s v="Ennis Dark"/>
        <s v="Winona Sheirlaw"/>
        <s v="Claire Theyer"/>
        <s v="Vania Aimeric"/>
        <s v="Tara Winskill"/>
        <s v="Harrison Feye"/>
        <s v="Hunter Knappitt"/>
        <s v="Sampson Kilfeder"/>
        <s v="Berton Penniall"/>
        <s v="Moyna Picardo"/>
        <s v="Kimberli Motion"/>
        <s v="Emlyn Lawther"/>
        <s v="Lou Dockery"/>
        <s v="Cornall Summons"/>
        <s v="Charla Leguey"/>
        <s v="Othilie Cluderay"/>
        <s v="Marieann Derdes"/>
        <s v="Alberik Bradick"/>
        <s v="Nicolette Snoad"/>
        <s v="Nerta Daniel"/>
        <s v="Philippe Klempke"/>
        <s v="Rosalinde Parley"/>
        <s v="Iosep Rentilll"/>
        <s v="Eadie Shilito"/>
        <s v="Gratia Pirie"/>
        <s v="Pattie Kimmons"/>
        <s v="Forrest Forton"/>
        <s v="Gillie Ojeda"/>
        <s v="Ardelle O'Meara"/>
        <s v="Hilda Blacktin"/>
        <s v="Halsey Judson"/>
        <s v="Haily Sola"/>
        <s v="Papageno Pitcock"/>
        <s v="Darnall Rannells"/>
        <s v="Arluene Powderham"/>
        <s v="Wells Fer"/>
        <s v="Bobette Rubens"/>
        <s v="Amitie Dunge"/>
        <s v="Lorinda Luety"/>
        <s v="Jethro Fraser"/>
        <s v="Umberto Egle"/>
        <s v="Bailey Hickinbottom"/>
        <s v="Herbie Anespie"/>
        <s v="Barrie Byrom"/>
        <s v="Bobbie Owens"/>
        <s v="Sadie Djorvic"/>
        <s v="Doralia Fagence"/>
        <s v="Phaedra Rabson"/>
        <s v="Amby Connerly"/>
        <s v="Janek Shepperd"/>
        <s v="Krissy Tomaini"/>
        <s v="Nerita Nendick"/>
        <s v="Hilary McAughtry"/>
        <s v="Normy Andrzejowski"/>
        <s v="Karil Garthside"/>
        <s v="Flori Wanjek"/>
        <s v="Bibby Weblin"/>
        <s v="Batsheva Fielding"/>
        <s v="Carlie Priden"/>
        <s v="Gratiana Searjeant"/>
        <s v="Minnaminnie Wallice"/>
        <s v="Fey Vizard"/>
        <s v="Clyde Wickey"/>
        <s v="Neddie Joiris"/>
        <s v="Worthington Keysel"/>
        <s v="Alexio Wiltsher"/>
        <s v="Berty Perl"/>
        <s v="Kliment Jencken"/>
        <s v="Shane Dunnan"/>
        <s v="Rafi Dagleas"/>
        <s v="Clemence Gillooly"/>
        <s v="Christiane Blanc"/>
        <s v="Karilynn Corradetti"/>
        <s v="Marielle Dugan"/>
        <s v="Jo Hunnicutt"/>
        <s v="Orbadiah Smout"/>
        <s v="Max Boulton"/>
        <s v="Renato MacTurlough"/>
        <s v="Nert Traut"/>
        <s v="Giraldo Harsant"/>
        <s v="Leanora Wimms"/>
        <s v="Anya Aslam"/>
        <s v="Frants Gratten"/>
        <s v="Abbe Hailwood"/>
        <s v="Caron Postan"/>
        <s v="Kalil Scowen"/>
        <s v="Hewett Isham"/>
        <s v="Bancroft Rosle"/>
        <s v="Reinwald Gyenes"/>
        <s v="Udale Aspinell"/>
        <s v="Jesus Ferenc"/>
        <s v="Evangelin Halcro"/>
        <s v="Wolf Glaum"/>
        <s v="Rowan Childers"/>
        <m/>
      </sharedItems>
    </cacheField>
    <cacheField name="Category" numFmtId="0">
      <sharedItems containsBlank="1">
        <s v="Accessories"/>
        <s v="Mobiles"/>
        <s v="Laptops"/>
        <m/>
      </sharedItems>
    </cacheField>
    <cacheField name="Unit Sold" numFmtId="0">
      <sharedItems containsString="0" containsBlank="1" containsNumber="1" containsInteger="1">
        <n v="14.0"/>
        <n v="3.0"/>
        <n v="19.0"/>
        <n v="1.0"/>
        <n v="16.0"/>
        <n v="6.0"/>
        <n v="2.0"/>
        <n v="18.0"/>
        <n v="13.0"/>
        <n v="5.0"/>
        <n v="17.0"/>
        <n v="8.0"/>
        <n v="4.0"/>
        <n v="10.0"/>
        <n v="9.0"/>
        <n v="11.0"/>
        <n v="15.0"/>
        <n v="12.0"/>
        <n v="20.0"/>
        <n v="7.0"/>
        <m/>
      </sharedItems>
    </cacheField>
    <cacheField name="Unit Price" numFmtId="0">
      <sharedItems containsString="0" containsBlank="1" containsNumber="1" containsInteger="1">
        <n v="8148.0"/>
        <n v="74394.0"/>
        <n v="59294.0"/>
        <n v="63918.0"/>
        <n v="75554.0"/>
        <n v="31893.0"/>
        <n v="78420.0"/>
        <n v="56487.0"/>
        <n v="12129.0"/>
        <n v="4204.0"/>
        <n v="22388.0"/>
        <n v="71188.0"/>
        <n v="10359.0"/>
        <n v="21620.0"/>
        <n v="45721.0"/>
        <n v="19213.0"/>
        <n v="16412.0"/>
        <n v="47133.0"/>
        <n v="32588.0"/>
        <n v="22173.0"/>
        <n v="77212.0"/>
        <n v="78714.0"/>
        <n v="73168.0"/>
        <n v="42894.0"/>
        <n v="66731.0"/>
        <n v="73151.0"/>
        <n v="18040.0"/>
        <n v="79316.0"/>
        <n v="27111.0"/>
        <n v="55771.0"/>
        <n v="20955.0"/>
        <n v="2998.0"/>
        <n v="65142.0"/>
        <n v="29927.0"/>
        <n v="46394.0"/>
        <n v="39851.0"/>
        <n v="16416.0"/>
        <n v="34042.0"/>
        <n v="53601.0"/>
        <n v="51576.0"/>
        <n v="55675.0"/>
        <n v="66364.0"/>
        <n v="4632.0"/>
        <n v="74726.0"/>
        <n v="1900.0"/>
        <n v="34574.0"/>
        <n v="59847.0"/>
        <n v="24649.0"/>
        <n v="11507.0"/>
        <n v="76018.0"/>
        <n v="62217.0"/>
        <n v="50690.0"/>
        <n v="38579.0"/>
        <n v="77325.0"/>
        <n v="5631.0"/>
        <n v="783.0"/>
        <n v="32469.0"/>
        <n v="36675.0"/>
        <n v="1974.0"/>
        <n v="58531.0"/>
        <n v="19588.0"/>
        <n v="56913.0"/>
        <n v="38706.0"/>
        <n v="18791.0"/>
        <n v="17982.0"/>
        <n v="34763.0"/>
        <n v="52064.0"/>
        <n v="37329.0"/>
        <n v="58945.0"/>
        <n v="30752.0"/>
        <n v="20376.0"/>
        <n v="16751.0"/>
        <n v="49186.0"/>
        <n v="24217.0"/>
        <n v="30775.0"/>
        <n v="6071.0"/>
        <n v="18627.0"/>
        <n v="48389.0"/>
        <n v="2916.0"/>
        <n v="79157.0"/>
        <n v="62754.0"/>
        <n v="49327.0"/>
        <n v="60535.0"/>
        <n v="66313.0"/>
        <n v="75146.0"/>
        <n v="24127.0"/>
        <n v="70416.0"/>
        <n v="18452.0"/>
        <n v="6820.0"/>
        <n v="10098.0"/>
        <n v="18221.0"/>
        <n v="42310.0"/>
        <n v="46844.0"/>
        <n v="60595.0"/>
        <n v="25211.0"/>
        <n v="52954.0"/>
        <n v="1453.0"/>
        <n v="49538.0"/>
        <n v="65875.0"/>
        <n v="23623.0"/>
        <n v="30342.0"/>
        <n v="17841.0"/>
        <n v="31614.0"/>
        <n v="67671.0"/>
        <n v="20544.0"/>
        <n v="65015.0"/>
        <n v="69263.0"/>
        <n v="63506.0"/>
        <n v="15602.0"/>
        <n v="37663.0"/>
        <n v="75516.0"/>
        <n v="23118.0"/>
        <n v="43273.0"/>
        <n v="21499.0"/>
        <n v="31304.0"/>
        <n v="26828.0"/>
        <n v="62995.0"/>
        <n v="49090.0"/>
        <n v="78384.0"/>
        <n v="79966.0"/>
        <n v="61863.0"/>
        <n v="28198.0"/>
        <n v="8014.0"/>
        <n v="75327.0"/>
        <n v="58189.0"/>
        <n v="10840.0"/>
        <n v="23233.0"/>
        <n v="20267.0"/>
        <n v="39608.0"/>
        <n v="13862.0"/>
        <n v="60506.0"/>
        <n v="14509.0"/>
        <n v="33175.0"/>
        <n v="16667.0"/>
        <n v="72713.0"/>
        <n v="37730.0"/>
        <n v="56762.0"/>
        <n v="71120.0"/>
        <n v="42761.0"/>
        <n v="57797.0"/>
        <n v="51415.0"/>
        <n v="46187.0"/>
        <n v="48148.0"/>
        <n v="727.0"/>
        <n v="61512.0"/>
        <n v="10635.0"/>
        <n v="28627.0"/>
        <n v="44967.0"/>
        <n v="70732.0"/>
        <n v="75022.0"/>
        <n v="21040.0"/>
        <n v="50784.0"/>
        <n v="31483.0"/>
        <n v="74938.0"/>
        <n v="33659.0"/>
        <n v="63132.0"/>
        <n v="59701.0"/>
        <n v="48226.0"/>
        <n v="50614.0"/>
        <n v="61445.0"/>
        <n v="35824.0"/>
        <n v="27099.0"/>
        <n v="51511.0"/>
        <n v="36933.0"/>
        <n v="1692.0"/>
        <n v="57168.0"/>
        <n v="39616.0"/>
        <n v="43634.0"/>
        <n v="60779.0"/>
        <n v="58166.0"/>
        <n v="55907.0"/>
        <n v="19378.0"/>
        <n v="77530.0"/>
        <n v="73838.0"/>
        <n v="56796.0"/>
        <n v="70206.0"/>
        <n v="47400.0"/>
        <n v="18094.0"/>
        <n v="68250.0"/>
        <n v="73383.0"/>
        <n v="76020.0"/>
        <n v="64011.0"/>
        <n v="78541.0"/>
        <n v="16063.0"/>
        <n v="69565.0"/>
        <n v="29498.0"/>
        <n v="71802.0"/>
        <n v="62540.0"/>
        <n v="51149.0"/>
        <n v="79653.0"/>
        <n v="6406.0"/>
        <n v="15625.0"/>
        <n v="4331.0"/>
        <n v="74618.0"/>
        <n v="31029.0"/>
        <n v="34577.0"/>
        <n v="58442.0"/>
        <n v="79427.0"/>
        <n v="48213.0"/>
        <n v="4456.0"/>
        <n v="58924.0"/>
        <n v="79765.0"/>
        <n v="71685.0"/>
        <n v="66661.0"/>
        <n v="77697.0"/>
        <n v="57269.0"/>
        <n v="17190.0"/>
        <n v="36318.0"/>
        <n v="25426.0"/>
        <n v="68539.0"/>
        <n v="1805.0"/>
        <n v="59293.0"/>
        <n v="47156.0"/>
        <n v="20456.0"/>
        <n v="4191.0"/>
        <n v="48267.0"/>
        <n v="31267.0"/>
        <n v="49179.0"/>
        <n v="28333.0"/>
        <n v="45642.0"/>
        <n v="27136.0"/>
        <n v="22943.0"/>
        <n v="35995.0"/>
        <n v="16458.0"/>
        <n v="20028.0"/>
        <n v="66730.0"/>
        <n v="2227.0"/>
        <n v="4790.0"/>
        <n v="54600.0"/>
        <n v="12691.0"/>
        <n v="17067.0"/>
        <n v="27151.0"/>
        <n v="70998.0"/>
        <n v="58788.0"/>
        <n v="48117.0"/>
        <n v="41514.0"/>
        <n v="71111.0"/>
        <n v="652.0"/>
        <n v="30442.0"/>
        <n v="58938.0"/>
        <n v="59051.0"/>
        <n v="7103.0"/>
        <n v="1405.0"/>
        <n v="46318.0"/>
        <n v="8218.0"/>
        <n v="21935.0"/>
        <n v="65616.0"/>
        <n v="71774.0"/>
        <n v="30989.0"/>
        <n v="43547.0"/>
        <n v="79218.0"/>
        <n v="77416.0"/>
        <n v="21570.0"/>
        <n v="49892.0"/>
        <n v="42533.0"/>
        <n v="68178.0"/>
        <n v="31228.0"/>
        <n v="10896.0"/>
        <n v="20051.0"/>
        <n v="33035.0"/>
        <n v="20117.0"/>
        <n v="39705.0"/>
        <n v="78985.0"/>
        <n v="5709.0"/>
        <n v="10022.0"/>
        <n v="33826.0"/>
        <n v="20471.0"/>
        <n v="17415.0"/>
        <n v="18155.0"/>
        <n v="40421.0"/>
        <n v="13940.0"/>
        <n v="79289.0"/>
        <n v="75202.0"/>
        <n v="72461.0"/>
        <n v="68224.0"/>
        <n v="31309.0"/>
        <n v="50396.0"/>
        <n v="24851.0"/>
        <n v="37820.0"/>
        <n v="50885.0"/>
        <n v="15650.0"/>
        <n v="33047.0"/>
        <n v="42813.0"/>
        <n v="62124.0"/>
        <n v="40391.0"/>
        <n v="41986.0"/>
        <n v="20289.0"/>
        <n v="65941.0"/>
        <n v="4339.0"/>
        <n v="72074.0"/>
        <n v="62071.0"/>
        <n v="5090.0"/>
        <n v="63427.0"/>
        <n v="62923.0"/>
        <n v="68754.0"/>
        <n v="56729.0"/>
        <n v="9213.0"/>
        <n v="12413.0"/>
        <n v="9102.0"/>
        <n v="18699.0"/>
        <m/>
      </sharedItems>
    </cacheField>
    <cacheField name="Status" numFmtId="0">
      <sharedItems containsBlank="1">
        <s v="Returned"/>
        <s v="Pending"/>
        <s v="Completed"/>
        <m/>
      </sharedItems>
    </cacheField>
    <cacheField name="Month" numFmtId="49">
      <sharedItems containsBlank="1">
        <s v="Nov"/>
        <s v="Jul"/>
        <s v="Apr"/>
        <s v="Mar"/>
        <s v="Oct"/>
        <s v="Jun"/>
        <s v="Feb"/>
        <s v="Jan"/>
        <s v="Sep"/>
        <s v="Dec"/>
        <s v="Aug"/>
        <s v="May"/>
        <m/>
      </sharedItems>
    </cacheField>
    <cacheField name="Revenue After Returns" numFmtId="0">
      <sharedItems containsString="0" containsBlank="1" containsNumber="1" containsInteger="1">
        <n v="0.0"/>
        <n v="223182.0"/>
        <n v="1126586.0"/>
        <n v="63918.0"/>
        <n v="95679.0"/>
        <n v="1254720.0"/>
        <n v="338922.0"/>
        <n v="291044.0"/>
        <n v="165744.0"/>
        <n v="281060.0"/>
        <n v="326621.0"/>
        <n v="82060.0"/>
        <n v="895527.0"/>
        <n v="110865.0"/>
        <n v="1235392.0"/>
        <n v="146336.0"/>
        <n v="333655.0"/>
        <n v="292604.0"/>
        <n v="180400.0"/>
        <n v="634528.0"/>
        <n v="487998.0"/>
        <n v="780794.0"/>
        <n v="125730.0"/>
        <n v="26982.0"/>
        <n v="716562.0"/>
        <n v="508759.0"/>
        <n v="417546.0"/>
        <n v="79702.0"/>
        <n v="68084.0"/>
        <n v="222700.0"/>
        <n v="83376.0"/>
        <n v="1494520.0"/>
        <n v="1900.0"/>
        <n v="1196940.0"/>
        <n v="246490.0"/>
        <n v="126577.0"/>
        <n v="684162.0"/>
        <n v="373302.0"/>
        <n v="405520.0"/>
        <n v="347211.0"/>
        <n v="850575.0"/>
        <n v="7830.0"/>
        <n v="259752.0"/>
        <n v="58531.0"/>
        <n v="541884.0"/>
        <n v="169119.0"/>
        <n v="35964.0"/>
        <n v="885088.0"/>
        <n v="671922.0"/>
        <n v="201012.0"/>
        <n v="393488.0"/>
        <n v="363255.0"/>
        <n v="369300.0"/>
        <n v="30355.0"/>
        <n v="20412.0"/>
        <n v="1029041.0"/>
        <n v="627540.0"/>
        <n v="423745.0"/>
        <n v="795756.0"/>
        <n v="375730.0"/>
        <n v="265397.0"/>
        <n v="352080.0"/>
        <n v="147616.0"/>
        <n v="129580.0"/>
        <n v="36442.0"/>
        <n v="302975.0"/>
        <n v="226899.0"/>
        <n v="370678.0"/>
        <n v="18889.0"/>
        <n v="346766.0"/>
        <n v="461125.0"/>
        <n v="70869.0"/>
        <n v="178410.0"/>
        <n v="67671.0"/>
        <n v="1235285.0"/>
        <n v="825578.0"/>
        <n v="140418.0"/>
        <n v="830676.0"/>
        <n v="300534.0"/>
        <n v="193491.0"/>
        <n v="62608.0"/>
        <n v="536560.0"/>
        <n v="539990.0"/>
        <n v="1018992.0"/>
        <n v="1599320.0"/>
        <n v="563960.0"/>
        <n v="88154.0"/>
        <n v="1280559.0"/>
        <n v="872835.0"/>
        <n v="418194.0"/>
        <n v="182403.0"/>
        <n v="514904.0"/>
        <n v="41586.0"/>
        <n v="66350.0"/>
        <n v="300006.0"/>
        <n v="75460.0"/>
        <n v="782320.0"/>
        <n v="785179.0"/>
        <n v="96296.0"/>
        <n v="7997.0"/>
        <n v="159525.0"/>
        <n v="543913.0"/>
        <n v="719472.0"/>
        <n v="141464.0"/>
        <n v="75022.0"/>
        <n v="304704.0"/>
        <n v="346313.0"/>
        <n v="374690.0"/>
        <n v="33659.0"/>
        <n v="675164.0"/>
        <n v="541980.0"/>
        <n v="154533.0"/>
        <n v="6768.0"/>
        <n v="857520.0"/>
        <n v="475392.0"/>
        <n v="567242.0"/>
        <n v="988822.0"/>
        <n v="1062233.0"/>
        <n v="348804.0"/>
        <n v="155060.0"/>
        <n v="369190.0"/>
        <n v="361880.0"/>
        <n v="955500.0"/>
        <n v="146766.0"/>
        <n v="1140300.0"/>
        <n v="128022.0"/>
        <n v="471246.0"/>
        <n v="32126.0"/>
        <n v="1005228.0"/>
        <n v="1250800.0"/>
        <n v="637224.0"/>
        <n v="51248.0"/>
        <n v="77958.0"/>
        <n v="671562.0"/>
        <n v="558522.0"/>
        <n v="1051956.0"/>
        <n v="873697.0"/>
        <n v="241065.0"/>
        <n v="84664.0"/>
        <n v="558355.0"/>
        <n v="931905.0"/>
        <n v="666610.0"/>
        <n v="233091.0"/>
        <n v="687228.0"/>
        <n v="34380.0"/>
        <n v="690042.0"/>
        <n v="50852.0"/>
        <n v="411234.0"/>
        <n v="36100.0"/>
        <n v="889395.0"/>
        <n v="801652.0"/>
        <n v="245472.0"/>
        <n v="37719.0"/>
        <n v="289602.0"/>
        <n v="469005.0"/>
        <n v="590148.0"/>
        <n v="254997.0"/>
        <n v="638988.0"/>
        <n v="244224.0"/>
        <n v="435917.0"/>
        <n v="62270.0"/>
        <n v="218400.0"/>
        <n v="88837.0"/>
        <n v="102402.0"/>
        <n v="543020.0"/>
        <n v="866106.0"/>
        <n v="41514.0"/>
        <n v="1066665.0"/>
        <n v="11084.0"/>
        <n v="182652.0"/>
        <n v="106545.0"/>
        <n v="92636.0"/>
        <n v="139706.0"/>
        <n v="65805.0"/>
        <n v="1220158.0"/>
        <n v="950616.0"/>
        <n v="774160.0"/>
        <n v="648596.0"/>
        <n v="255198.0"/>
        <n v="530876.0"/>
        <n v="98064.0"/>
        <n v="220561.0"/>
        <n v="132140.0"/>
        <n v="190418.0"/>
        <n v="270608.0"/>
        <n v="139320.0"/>
        <n v="36310.0"/>
        <n v="121263.0"/>
        <n v="55760.0"/>
        <n v="1052828.0"/>
        <n v="341120.0"/>
        <n v="344399.0"/>
        <n v="1007920.0"/>
        <n v="273361.0"/>
        <n v="113460.0"/>
        <n v="50885.0"/>
        <n v="31300.0"/>
        <n v="396564.0"/>
        <n v="42813.0"/>
        <n v="993984.0"/>
        <n v="282737.0"/>
        <n v="41986.0"/>
        <n v="405780.0"/>
        <n v="593469.0"/>
        <n v="60746.0"/>
        <n v="993136.0"/>
        <n v="50900.0"/>
        <n v="507416.0"/>
        <n v="1306326.0"/>
        <n v="794206.0"/>
        <n v="173782.0"/>
        <n v="18204.0"/>
        <n v="149592.0"/>
        <m/>
      </sharedItems>
    </cacheField>
    <cacheField name="Product" numFmtId="0">
      <sharedItems containsBlank="1">
        <s v="Logitech Mouse"/>
        <s v="Boat Earbuds"/>
        <s v="iPhone 15"/>
        <s v="HP Laptop"/>
        <s v="Dell Laptop"/>
        <s v="Samsung Galaxy"/>
        <s v="OnePlus TV"/>
        <m/>
      </sharedItems>
    </cacheField>
    <cacheField name="Total Sales" numFmtId="0">
      <sharedItems containsString="0" containsBlank="1" containsNumber="1" containsInteger="1">
        <n v="114072.0"/>
        <n v="223182.0"/>
        <n v="1126586.0"/>
        <n v="63918.0"/>
        <n v="75554.0"/>
        <n v="95679.0"/>
        <n v="1254720.0"/>
        <n v="338922.0"/>
        <n v="24258.0"/>
        <n v="75672.0"/>
        <n v="291044.0"/>
        <n v="996632.0"/>
        <n v="165744.0"/>
        <n v="281060.0"/>
        <n v="228605.0"/>
        <n v="326621.0"/>
        <n v="82060.0"/>
        <n v="895527.0"/>
        <n v="195528.0"/>
        <n v="110865.0"/>
        <n v="1235392.0"/>
        <n v="393570.0"/>
        <n v="146336.0"/>
        <n v="343152.0"/>
        <n v="333655.0"/>
        <n v="292604.0"/>
        <n v="180400.0"/>
        <n v="634528.0"/>
        <n v="487998.0"/>
        <n v="780794.0"/>
        <n v="125730.0"/>
        <n v="26982.0"/>
        <n v="716562.0"/>
        <n v="508759.0"/>
        <n v="417546.0"/>
        <n v="79702.0"/>
        <n v="311904.0"/>
        <n v="68084.0"/>
        <n v="804015.0"/>
        <n v="773640.0"/>
        <n v="222700.0"/>
        <n v="796368.0"/>
        <n v="83376.0"/>
        <n v="1494520.0"/>
        <n v="1900.0"/>
        <n v="587758.0"/>
        <n v="1196940.0"/>
        <n v="246490.0"/>
        <n v="126577.0"/>
        <n v="684162.0"/>
        <n v="373302.0"/>
        <n v="405520.0"/>
        <n v="347211.0"/>
        <n v="850575.0"/>
        <n v="73203.0"/>
        <n v="7830.0"/>
        <n v="259752.0"/>
        <n v="476775.0"/>
        <n v="27636.0"/>
        <n v="58531.0"/>
        <n v="58764.0"/>
        <n v="569130.0"/>
        <n v="541884.0"/>
        <n v="169119.0"/>
        <n v="35964.0"/>
        <n v="451919.0"/>
        <n v="885088.0"/>
        <n v="671922.0"/>
        <n v="58945.0"/>
        <n v="461280.0"/>
        <n v="122256.0"/>
        <n v="201012.0"/>
        <n v="393488.0"/>
        <n v="363255.0"/>
        <n v="369300.0"/>
        <n v="30355.0"/>
        <n v="372540.0"/>
        <n v="435501.0"/>
        <n v="20412.0"/>
        <n v="1029041.0"/>
        <n v="627540.0"/>
        <n v="789232.0"/>
        <n v="423745.0"/>
        <n v="795756.0"/>
        <n v="375730.0"/>
        <n v="265397.0"/>
        <n v="352080.0"/>
        <n v="147616.0"/>
        <n v="129580.0"/>
        <n v="100980.0"/>
        <n v="36442.0"/>
        <n v="550030.0"/>
        <n v="608972.0"/>
        <n v="302975.0"/>
        <n v="226899.0"/>
        <n v="370678.0"/>
        <n v="18889.0"/>
        <n v="346766.0"/>
        <n v="461125.0"/>
        <n v="70869.0"/>
        <n v="606840.0"/>
        <n v="178410.0"/>
        <n v="316140.0"/>
        <n v="67671.0"/>
        <n v="225984.0"/>
        <n v="1235285.0"/>
        <n v="1177471.0"/>
        <n v="825578.0"/>
        <n v="140418.0"/>
        <n v="75326.0"/>
        <n v="830676.0"/>
        <n v="300534.0"/>
        <n v="692368.0"/>
        <n v="193491.0"/>
        <n v="62608.0"/>
        <n v="536560.0"/>
        <n v="377970.0"/>
        <n v="539990.0"/>
        <n v="1018992.0"/>
        <n v="1599320.0"/>
        <n v="804219.0"/>
        <n v="563960.0"/>
        <n v="88154.0"/>
        <n v="1280559.0"/>
        <n v="872835.0"/>
        <n v="173440.0"/>
        <n v="418194.0"/>
        <n v="182403.0"/>
        <n v="514904.0"/>
        <n v="41586.0"/>
        <n v="121012.0"/>
        <n v="145090.0"/>
        <n v="66350.0"/>
        <n v="300006.0"/>
        <n v="1381547.0"/>
        <n v="75460.0"/>
        <n v="56762.0"/>
        <n v="782320.0"/>
        <n v="812459.0"/>
        <n v="982549.0"/>
        <n v="359905.0"/>
        <n v="785179.0"/>
        <n v="96296.0"/>
        <n v="7997.0"/>
        <n v="123024.0"/>
        <n v="159525.0"/>
        <n v="543913.0"/>
        <n v="719472.0"/>
        <n v="141464.0"/>
        <n v="75022.0"/>
        <n v="378720.0"/>
        <n v="304704.0"/>
        <n v="346313.0"/>
        <n v="374690.0"/>
        <n v="33659.0"/>
        <n v="505056.0"/>
        <n v="537309.0"/>
        <n v="675164.0"/>
        <n v="556754.0"/>
        <n v="1044565.0"/>
        <n v="35824.0"/>
        <n v="541980.0"/>
        <n v="154533.0"/>
        <n v="738660.0"/>
        <n v="6768.0"/>
        <n v="857520.0"/>
        <n v="475392.0"/>
        <n v="567242.0"/>
        <n v="182337.0"/>
        <n v="988822.0"/>
        <n v="1062233.0"/>
        <n v="348804.0"/>
        <n v="155060.0"/>
        <n v="369190.0"/>
        <n v="851940.0"/>
        <n v="70206.0"/>
        <n v="142200.0"/>
        <n v="361880.0"/>
        <n v="955500.0"/>
        <n v="146766.0"/>
        <n v="1140300.0"/>
        <n v="128022.0"/>
        <n v="471246.0"/>
        <n v="32126.0"/>
        <n v="556520.0"/>
        <n v="412972.0"/>
        <n v="1005228.0"/>
        <n v="1250800.0"/>
        <n v="460341.0"/>
        <n v="637224.0"/>
        <n v="51248.0"/>
        <n v="93750.0"/>
        <n v="77958.0"/>
        <n v="671562.0"/>
        <n v="558522.0"/>
        <n v="518655.0"/>
        <n v="1051956.0"/>
        <n v="873697.0"/>
        <n v="241065.0"/>
        <n v="84664.0"/>
        <n v="1060632.0"/>
        <n v="558355.0"/>
        <n v="931905.0"/>
        <n v="666610.0"/>
        <n v="233091.0"/>
        <n v="687228.0"/>
        <n v="34380.0"/>
        <n v="690042.0"/>
        <n v="50852.0"/>
        <n v="411234.0"/>
        <n v="36100.0"/>
        <n v="889395.0"/>
        <n v="801652.0"/>
        <n v="245472.0"/>
        <n v="37719.0"/>
        <n v="289602.0"/>
        <n v="469005.0"/>
        <n v="590148.0"/>
        <n v="254997.0"/>
        <n v="638988.0"/>
        <n v="244224.0"/>
        <n v="435917.0"/>
        <n v="251965.0"/>
        <n v="312702.0"/>
        <n v="80112.0"/>
        <n v="1000950.0"/>
        <n v="15589.0"/>
        <n v="62270.0"/>
        <n v="218400.0"/>
        <n v="88837.0"/>
        <n v="102402.0"/>
        <n v="543020.0"/>
        <n v="922974.0"/>
        <n v="823032.0"/>
        <n v="866106.0"/>
        <n v="41514.0"/>
        <n v="1066665.0"/>
        <n v="11084.0"/>
        <n v="182652.0"/>
        <n v="648318.0"/>
        <n v="236204.0"/>
        <n v="106545.0"/>
        <n v="19670.0"/>
        <n v="92636.0"/>
        <n v="139706.0"/>
        <n v="65805.0"/>
        <n v="459312.0"/>
        <n v="1220158.0"/>
        <n v="185934.0"/>
        <n v="217735.0"/>
        <n v="950616.0"/>
        <n v="774160.0"/>
        <n v="409830.0"/>
        <n v="648596.0"/>
        <n v="255198.0"/>
        <n v="68178.0"/>
        <n v="530876.0"/>
        <n v="98064.0"/>
        <n v="220561.0"/>
        <n v="132140.0"/>
        <n v="80468.0"/>
        <n v="674985.0"/>
        <n v="1421730.0"/>
        <n v="45672.0"/>
        <n v="190418.0"/>
        <n v="270608.0"/>
        <n v="327536.0"/>
        <n v="139320.0"/>
        <n v="36310.0"/>
        <n v="121263.0"/>
        <n v="55760.0"/>
        <n v="158578.0"/>
        <n v="1052828.0"/>
        <n v="941993.0"/>
        <n v="341120.0"/>
        <n v="344399.0"/>
        <n v="1007920.0"/>
        <n v="273361.0"/>
        <n v="113460.0"/>
        <n v="50885.0"/>
        <n v="31300.0"/>
        <n v="396564.0"/>
        <n v="42813.0"/>
        <n v="993984.0"/>
        <n v="282737.0"/>
        <n v="41986.0"/>
        <n v="405780.0"/>
        <n v="593469.0"/>
        <n v="60746.0"/>
        <n v="1297332.0"/>
        <n v="993136.0"/>
        <n v="50900.0"/>
        <n v="507416.0"/>
        <n v="943845.0"/>
        <n v="1306326.0"/>
        <n v="794206.0"/>
        <n v="101343.0"/>
        <n v="173782.0"/>
        <n v="18204.0"/>
        <n v="149592.0"/>
        <m/>
      </sharedItems>
    </cacheField>
    <cacheField name="Month Number" numFmtId="0">
      <sharedItems containsString="0" containsBlank="1" containsNumber="1" containsInteger="1">
        <n v="11.0"/>
        <n v="7.0"/>
        <n v="4.0"/>
        <n v="3.0"/>
        <n v="10.0"/>
        <n v="6.0"/>
        <n v="2.0"/>
        <n v="1.0"/>
        <n v="9.0"/>
        <n v="12.0"/>
        <n v="8.0"/>
        <n v="5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D1:J1000" sheet="Sales"/>
  </cacheSource>
  <cacheFields>
    <cacheField name="Salesperson" numFmtId="0">
      <sharedItems containsBlank="1">
        <s v="Drusie Stedmond"/>
        <s v="Piggy Charlewood"/>
        <s v="Duky Ronisch"/>
        <s v="Gabe Howell"/>
        <s v="Burr Jago"/>
        <s v="Wenonah Hallatt"/>
        <s v="Lurette Heavyside"/>
        <s v="Malcolm Poulsum"/>
        <s v="Carr Prisley"/>
        <s v="Chickie Dayley"/>
        <s v="Annalise Plowman"/>
        <s v="Janessa Bladder"/>
        <s v="Orrin Suarez"/>
        <s v="Fallon Simonassi"/>
        <s v="Bobinette Lakenton"/>
        <s v="Elisabeth Give"/>
        <s v="Meggi Bodechon"/>
        <s v="Lorrie Rogers"/>
        <s v="Avictor Curreen"/>
        <s v="Zilvia Muat"/>
        <s v="Bradley Wiggins"/>
        <s v="Carey Oloshin"/>
        <s v="Moreen Yeldham"/>
        <s v="Trula Cobbin"/>
        <s v="Lizette Hadye"/>
        <s v="Fey Walworth"/>
        <s v="Casper Tixall"/>
        <s v="Chance Abbiss"/>
        <s v="Kelley Carren"/>
        <s v="Royal Madner"/>
        <s v="Christoper Maevela"/>
        <s v="Torrie Targett"/>
        <s v="Griffin Showl"/>
        <s v="Eldredge Hair"/>
        <s v="Gaspard Obbard"/>
        <s v="Clari Pablo"/>
        <s v="Bordy Morilla"/>
        <s v="Giustino Thorne"/>
        <s v="Winnifred Pocklington"/>
        <s v="Humfrid Brockman"/>
        <s v="Cosme Leonida"/>
        <s v="Tomas Wybourne"/>
        <s v="Mufinella Liversley"/>
        <s v="Emmett Coode"/>
        <s v="Koenraad Kryszka"/>
        <s v="Jase Pallis"/>
        <s v="Ferris Corneille"/>
        <s v="Sigfrid Leyre"/>
        <s v="Alfie Edkins"/>
        <s v="Percival Licciardi"/>
        <s v="Tilda Warmisham"/>
        <s v="Stewart Yanukhin"/>
        <s v="Silvester Steiner"/>
        <s v="Calv Blackney"/>
        <s v="Nicola Killcross"/>
        <s v="Denys Amberger"/>
        <s v="Vally Nyles"/>
        <s v="Pincas Nutten"/>
        <s v="Kit Sheards"/>
        <s v="Frans Lickorish"/>
        <s v="Curcio Bondesen"/>
        <s v="Veronique Cajkler"/>
        <s v="Clare Frill"/>
        <s v="Corrina German"/>
        <s v="Hendrika Ivashintsov"/>
        <s v="Ewart Glasby"/>
        <s v="Balduin Mandifield"/>
        <s v="Kevin Penney"/>
        <s v="Arleyne Badham"/>
        <s v="Ian Spary"/>
        <s v="Herc Chalmers"/>
        <s v="Saul Rhymer"/>
        <s v="Nicolais MacCrossan"/>
        <s v="Osgood Claeskens"/>
        <s v="Patrick Klimt"/>
        <s v="Vic Hammond"/>
        <s v="Barb Minihan"/>
        <s v="Curtis Ashburner"/>
        <s v="Emlyn Borrowman"/>
        <s v="Vidovic Bonson"/>
        <s v="Octavius Steggals"/>
        <s v="Bobbee Hammerman"/>
        <s v="Mercie Lines"/>
        <s v="Giovanni Gostyke"/>
        <s v="Gabbey Christopher"/>
        <s v="Kendricks Keneforde"/>
        <s v="Trumaine Molloy"/>
        <s v="Brunhilde Jerke"/>
        <s v="Lamont Rosenstengel"/>
        <s v="Silvana McKirton"/>
        <s v="Chip Cathery"/>
        <s v="Anselm Oldacres"/>
        <s v="Robby Burnyeat"/>
        <s v="Gannie Pruckner"/>
        <s v="Essie Nossent"/>
        <s v="Fanny Smalman"/>
        <s v="Deeann Annets"/>
        <s v="Kristi Hoodless"/>
        <s v="Bil Ivanchov"/>
        <s v="Rozamond Dinnis"/>
        <s v="Josephina McAlinden"/>
        <s v="Clywd Winskill"/>
        <s v="Anita Hustler"/>
        <s v="Sammy Lovegrove"/>
        <s v="Mahmoud Riccione"/>
        <s v="Mattie Gilberthorpe"/>
        <s v="Cordula Boobier"/>
        <s v="Barn Rouch"/>
        <s v="Neda Maccaddie"/>
        <s v="Juanita Haugen"/>
        <s v="Jayme Raymont"/>
        <s v="Johan Saylor"/>
        <s v="Shelbi Mallison"/>
        <s v="Dorie Toghill"/>
        <s v="Kristi Iddison"/>
        <s v="Maury Breede"/>
        <s v="Janek Managh"/>
        <s v="Hermy Warnes"/>
        <s v="Rod Attoe"/>
        <s v="Britney Siddaley"/>
        <s v="Devi Schohier"/>
        <s v="Savina Skin"/>
        <s v="Wilfrid Boyford"/>
        <s v="Ronny Gumbrell"/>
        <s v="Karee Rossant"/>
        <s v="Truda Muneely"/>
        <s v="Maren Osichev"/>
        <s v="Babette Chavey"/>
        <s v="Jaquenette Glyne"/>
        <s v="Gradeigh Tinwell"/>
        <s v="Marissa Dempsey"/>
        <s v="Langsdon Tilburn"/>
        <s v="Quintus Christene"/>
        <s v="Roxie Arnall"/>
        <s v="Gregg Phlippsen"/>
        <s v="Jerry Evequot"/>
        <s v="Boniface Franz-Schoninger"/>
        <s v="Bili McVeighty"/>
        <s v="Raye Payle"/>
        <s v="Marietta Dahle"/>
        <s v="Ara Baulch"/>
        <s v="Aldwin Bernet"/>
        <s v="Stafani Ker"/>
        <s v="Jules Fasler"/>
        <s v="Dorene Lukovic"/>
        <s v="Beverley Overthrow"/>
        <s v="De witt Hastie"/>
        <s v="Gabi Forte"/>
        <s v="Susy Prydden"/>
        <s v="Kristine Self"/>
        <s v="Lisabeth Geharke"/>
        <s v="Saloma Gitting"/>
        <s v="Patrica Job"/>
        <s v="Guillermo Kiffin"/>
        <s v="Tybalt Gawler"/>
        <s v="Hurlee Garwood"/>
        <s v="D'arcy Lyptratt"/>
        <s v="Mattie Tolson"/>
        <s v="Savina Chaffe"/>
        <s v="Aylmar Varrow"/>
        <s v="Cindra Petken"/>
        <s v="Uta Freak"/>
        <s v="Sonnie Welling"/>
        <s v="Felike Damper"/>
        <s v="Laurent Linne"/>
        <s v="Godwin Screach"/>
        <s v="Emyle Titchmarsh"/>
        <s v="Neall Graalman"/>
        <s v="Vanya Luberto"/>
        <s v="Alison Vasyagin"/>
        <s v="Tessi Giacomuzzo"/>
        <s v="Douglas Messruther"/>
        <s v="Polly Ravenshear"/>
        <s v="Neddy Tellett"/>
        <s v="Dud Randle"/>
        <s v="Scot McDyer"/>
        <s v="Yehudi Wearn"/>
        <s v="Kelci Fehner"/>
        <s v="Christyna Daverin"/>
        <s v="Teddy Edwins"/>
        <s v="Myles Barringer"/>
        <s v="Marinna Dumini"/>
        <s v="Stavro Van Dale"/>
        <s v="Adel Matfin"/>
        <s v="Ritchie Chaulk"/>
        <s v="Jaimie Dickey"/>
        <s v="Judas Scanlon"/>
        <s v="Nikki Dunbavin"/>
        <s v="Lorenzo Lowdwell"/>
        <s v="Demetria Gwinn"/>
        <s v="Kingston Whodcoat"/>
        <s v="Katheryn Binfield"/>
        <s v="Fabian Scudder"/>
        <s v="Cori Assante"/>
        <s v="Giffie Rearie"/>
        <s v="Kathlin Gewer"/>
        <s v="Ainsley Wesley"/>
        <s v="Kip Stappard"/>
        <s v="Lura Tripney"/>
        <s v="Clyde Mousley"/>
        <s v="Sandor Arrundale"/>
        <s v="Laverna Blunsen"/>
        <s v="Idette Morfey"/>
        <s v="Gabbie Outright"/>
        <s v="Jonas Plowell"/>
        <s v="Rolando Laity"/>
        <s v="Ennis Dark"/>
        <s v="Winona Sheirlaw"/>
        <s v="Claire Theyer"/>
        <s v="Vania Aimeric"/>
        <s v="Tara Winskill"/>
        <s v="Harrison Feye"/>
        <s v="Hunter Knappitt"/>
        <s v="Sampson Kilfeder"/>
        <s v="Berton Penniall"/>
        <s v="Moyna Picardo"/>
        <s v="Kimberli Motion"/>
        <s v="Emlyn Lawther"/>
        <s v="Lou Dockery"/>
        <s v="Cornall Summons"/>
        <s v="Charla Leguey"/>
        <s v="Othilie Cluderay"/>
        <s v="Marieann Derdes"/>
        <s v="Alberik Bradick"/>
        <s v="Nicolette Snoad"/>
        <s v="Nerta Daniel"/>
        <s v="Philippe Klempke"/>
        <s v="Rosalinde Parley"/>
        <s v="Iosep Rentilll"/>
        <s v="Eadie Shilito"/>
        <s v="Gratia Pirie"/>
        <s v="Pattie Kimmons"/>
        <s v="Forrest Forton"/>
        <s v="Gillie Ojeda"/>
        <s v="Ardelle O'Meara"/>
        <s v="Hilda Blacktin"/>
        <s v="Halsey Judson"/>
        <s v="Haily Sola"/>
        <s v="Papageno Pitcock"/>
        <s v="Darnall Rannells"/>
        <s v="Arluene Powderham"/>
        <s v="Wells Fer"/>
        <s v="Bobette Rubens"/>
        <s v="Amitie Dunge"/>
        <s v="Lorinda Luety"/>
        <s v="Jethro Fraser"/>
        <s v="Umberto Egle"/>
        <s v="Bailey Hickinbottom"/>
        <s v="Herbie Anespie"/>
        <s v="Barrie Byrom"/>
        <s v="Bobbie Owens"/>
        <s v="Sadie Djorvic"/>
        <s v="Doralia Fagence"/>
        <s v="Phaedra Rabson"/>
        <s v="Amby Connerly"/>
        <s v="Janek Shepperd"/>
        <s v="Krissy Tomaini"/>
        <s v="Nerita Nendick"/>
        <s v="Hilary McAughtry"/>
        <s v="Normy Andrzejowski"/>
        <s v="Karil Garthside"/>
        <s v="Flori Wanjek"/>
        <s v="Bibby Weblin"/>
        <s v="Batsheva Fielding"/>
        <s v="Carlie Priden"/>
        <s v="Gratiana Searjeant"/>
        <s v="Minnaminnie Wallice"/>
        <s v="Fey Vizard"/>
        <s v="Clyde Wickey"/>
        <s v="Neddie Joiris"/>
        <s v="Worthington Keysel"/>
        <s v="Alexio Wiltsher"/>
        <s v="Berty Perl"/>
        <s v="Kliment Jencken"/>
        <s v="Shane Dunnan"/>
        <s v="Rafi Dagleas"/>
        <s v="Clemence Gillooly"/>
        <s v="Christiane Blanc"/>
        <s v="Karilynn Corradetti"/>
        <s v="Marielle Dugan"/>
        <s v="Jo Hunnicutt"/>
        <s v="Orbadiah Smout"/>
        <s v="Max Boulton"/>
        <s v="Renato MacTurlough"/>
        <s v="Nert Traut"/>
        <s v="Giraldo Harsant"/>
        <s v="Leanora Wimms"/>
        <s v="Anya Aslam"/>
        <s v="Frants Gratten"/>
        <s v="Abbe Hailwood"/>
        <s v="Caron Postan"/>
        <s v="Kalil Scowen"/>
        <s v="Hewett Isham"/>
        <s v="Bancroft Rosle"/>
        <s v="Reinwald Gyenes"/>
        <s v="Udale Aspinell"/>
        <s v="Jesus Ferenc"/>
        <s v="Evangelin Halcro"/>
        <s v="Wolf Glaum"/>
        <s v="Rowan Childers"/>
        <m/>
      </sharedItems>
    </cacheField>
    <cacheField name="Category" numFmtId="0">
      <sharedItems containsBlank="1">
        <s v="Accessories"/>
        <s v="Mobiles"/>
        <s v="Laptops"/>
        <m/>
      </sharedItems>
    </cacheField>
    <cacheField name="Unit Sold" numFmtId="0">
      <sharedItems containsString="0" containsBlank="1" containsNumber="1" containsInteger="1">
        <n v="14.0"/>
        <n v="3.0"/>
        <n v="19.0"/>
        <n v="1.0"/>
        <n v="16.0"/>
        <n v="6.0"/>
        <n v="2.0"/>
        <n v="18.0"/>
        <n v="13.0"/>
        <n v="5.0"/>
        <n v="17.0"/>
        <n v="8.0"/>
        <n v="4.0"/>
        <n v="10.0"/>
        <n v="9.0"/>
        <n v="11.0"/>
        <n v="15.0"/>
        <n v="12.0"/>
        <n v="20.0"/>
        <n v="7.0"/>
        <m/>
      </sharedItems>
    </cacheField>
    <cacheField name="Unit Price" numFmtId="0">
      <sharedItems containsString="0" containsBlank="1" containsNumber="1" containsInteger="1">
        <n v="8148.0"/>
        <n v="74394.0"/>
        <n v="59294.0"/>
        <n v="63918.0"/>
        <n v="75554.0"/>
        <n v="31893.0"/>
        <n v="78420.0"/>
        <n v="56487.0"/>
        <n v="12129.0"/>
        <n v="4204.0"/>
        <n v="22388.0"/>
        <n v="71188.0"/>
        <n v="10359.0"/>
        <n v="21620.0"/>
        <n v="45721.0"/>
        <n v="19213.0"/>
        <n v="16412.0"/>
        <n v="47133.0"/>
        <n v="32588.0"/>
        <n v="22173.0"/>
        <n v="77212.0"/>
        <n v="78714.0"/>
        <n v="73168.0"/>
        <n v="42894.0"/>
        <n v="66731.0"/>
        <n v="73151.0"/>
        <n v="18040.0"/>
        <n v="79316.0"/>
        <n v="27111.0"/>
        <n v="55771.0"/>
        <n v="20955.0"/>
        <n v="2998.0"/>
        <n v="65142.0"/>
        <n v="29927.0"/>
        <n v="46394.0"/>
        <n v="39851.0"/>
        <n v="16416.0"/>
        <n v="34042.0"/>
        <n v="53601.0"/>
        <n v="51576.0"/>
        <n v="55675.0"/>
        <n v="66364.0"/>
        <n v="4632.0"/>
        <n v="74726.0"/>
        <n v="1900.0"/>
        <n v="34574.0"/>
        <n v="59847.0"/>
        <n v="24649.0"/>
        <n v="11507.0"/>
        <n v="76018.0"/>
        <n v="62217.0"/>
        <n v="50690.0"/>
        <n v="38579.0"/>
        <n v="77325.0"/>
        <n v="5631.0"/>
        <n v="783.0"/>
        <n v="32469.0"/>
        <n v="36675.0"/>
        <n v="1974.0"/>
        <n v="58531.0"/>
        <n v="19588.0"/>
        <n v="56913.0"/>
        <n v="38706.0"/>
        <n v="18791.0"/>
        <n v="17982.0"/>
        <n v="34763.0"/>
        <n v="52064.0"/>
        <n v="37329.0"/>
        <n v="58945.0"/>
        <n v="30752.0"/>
        <n v="20376.0"/>
        <n v="16751.0"/>
        <n v="49186.0"/>
        <n v="24217.0"/>
        <n v="30775.0"/>
        <n v="6071.0"/>
        <n v="18627.0"/>
        <n v="48389.0"/>
        <n v="2916.0"/>
        <n v="79157.0"/>
        <n v="62754.0"/>
        <n v="49327.0"/>
        <n v="60535.0"/>
        <n v="66313.0"/>
        <n v="75146.0"/>
        <n v="24127.0"/>
        <n v="70416.0"/>
        <n v="18452.0"/>
        <n v="6820.0"/>
        <n v="10098.0"/>
        <n v="18221.0"/>
        <n v="42310.0"/>
        <n v="46844.0"/>
        <n v="60595.0"/>
        <n v="25211.0"/>
        <n v="52954.0"/>
        <n v="1453.0"/>
        <n v="49538.0"/>
        <n v="65875.0"/>
        <n v="23623.0"/>
        <n v="30342.0"/>
        <n v="17841.0"/>
        <n v="31614.0"/>
        <n v="67671.0"/>
        <n v="20544.0"/>
        <n v="65015.0"/>
        <n v="69263.0"/>
        <n v="63506.0"/>
        <n v="15602.0"/>
        <n v="37663.0"/>
        <n v="75516.0"/>
        <n v="23118.0"/>
        <n v="43273.0"/>
        <n v="21499.0"/>
        <n v="31304.0"/>
        <n v="26828.0"/>
        <n v="62995.0"/>
        <n v="49090.0"/>
        <n v="78384.0"/>
        <n v="79966.0"/>
        <n v="61863.0"/>
        <n v="28198.0"/>
        <n v="8014.0"/>
        <n v="75327.0"/>
        <n v="58189.0"/>
        <n v="10840.0"/>
        <n v="23233.0"/>
        <n v="20267.0"/>
        <n v="39608.0"/>
        <n v="13862.0"/>
        <n v="60506.0"/>
        <n v="14509.0"/>
        <n v="33175.0"/>
        <n v="16667.0"/>
        <n v="72713.0"/>
        <n v="37730.0"/>
        <n v="56762.0"/>
        <n v="71120.0"/>
        <n v="42761.0"/>
        <n v="57797.0"/>
        <n v="51415.0"/>
        <n v="46187.0"/>
        <n v="48148.0"/>
        <n v="727.0"/>
        <n v="61512.0"/>
        <n v="10635.0"/>
        <n v="28627.0"/>
        <n v="44967.0"/>
        <n v="70732.0"/>
        <n v="75022.0"/>
        <n v="21040.0"/>
        <n v="50784.0"/>
        <n v="31483.0"/>
        <n v="74938.0"/>
        <n v="33659.0"/>
        <n v="63132.0"/>
        <n v="59701.0"/>
        <n v="48226.0"/>
        <n v="50614.0"/>
        <n v="61445.0"/>
        <n v="35824.0"/>
        <n v="27099.0"/>
        <n v="51511.0"/>
        <n v="36933.0"/>
        <n v="1692.0"/>
        <n v="57168.0"/>
        <n v="39616.0"/>
        <n v="43634.0"/>
        <n v="60779.0"/>
        <n v="58166.0"/>
        <n v="55907.0"/>
        <n v="19378.0"/>
        <n v="77530.0"/>
        <n v="73838.0"/>
        <n v="56796.0"/>
        <n v="70206.0"/>
        <n v="47400.0"/>
        <n v="18094.0"/>
        <n v="68250.0"/>
        <n v="73383.0"/>
        <n v="76020.0"/>
        <n v="64011.0"/>
        <n v="78541.0"/>
        <n v="16063.0"/>
        <n v="69565.0"/>
        <n v="29498.0"/>
        <n v="71802.0"/>
        <n v="62540.0"/>
        <n v="51149.0"/>
        <n v="79653.0"/>
        <n v="6406.0"/>
        <n v="15625.0"/>
        <n v="4331.0"/>
        <n v="74618.0"/>
        <n v="31029.0"/>
        <n v="34577.0"/>
        <n v="58442.0"/>
        <n v="79427.0"/>
        <n v="48213.0"/>
        <n v="4456.0"/>
        <n v="58924.0"/>
        <n v="79765.0"/>
        <n v="71685.0"/>
        <n v="66661.0"/>
        <n v="77697.0"/>
        <n v="57269.0"/>
        <n v="17190.0"/>
        <n v="36318.0"/>
        <n v="25426.0"/>
        <n v="68539.0"/>
        <n v="1805.0"/>
        <n v="59293.0"/>
        <n v="47156.0"/>
        <n v="20456.0"/>
        <n v="4191.0"/>
        <n v="48267.0"/>
        <n v="31267.0"/>
        <n v="49179.0"/>
        <n v="28333.0"/>
        <n v="45642.0"/>
        <n v="27136.0"/>
        <n v="22943.0"/>
        <n v="35995.0"/>
        <n v="16458.0"/>
        <n v="20028.0"/>
        <n v="66730.0"/>
        <n v="2227.0"/>
        <n v="4790.0"/>
        <n v="54600.0"/>
        <n v="12691.0"/>
        <n v="17067.0"/>
        <n v="27151.0"/>
        <n v="70998.0"/>
        <n v="58788.0"/>
        <n v="48117.0"/>
        <n v="41514.0"/>
        <n v="71111.0"/>
        <n v="652.0"/>
        <n v="30442.0"/>
        <n v="58938.0"/>
        <n v="59051.0"/>
        <n v="7103.0"/>
        <n v="1405.0"/>
        <n v="46318.0"/>
        <n v="8218.0"/>
        <n v="21935.0"/>
        <n v="65616.0"/>
        <n v="71774.0"/>
        <n v="30989.0"/>
        <n v="43547.0"/>
        <n v="79218.0"/>
        <n v="77416.0"/>
        <n v="21570.0"/>
        <n v="49892.0"/>
        <n v="42533.0"/>
        <n v="68178.0"/>
        <n v="31228.0"/>
        <n v="10896.0"/>
        <n v="20051.0"/>
        <n v="33035.0"/>
        <n v="20117.0"/>
        <n v="39705.0"/>
        <n v="78985.0"/>
        <n v="5709.0"/>
        <n v="10022.0"/>
        <n v="33826.0"/>
        <n v="20471.0"/>
        <n v="17415.0"/>
        <n v="18155.0"/>
        <n v="40421.0"/>
        <n v="13940.0"/>
        <n v="79289.0"/>
        <n v="75202.0"/>
        <n v="72461.0"/>
        <n v="68224.0"/>
        <n v="31309.0"/>
        <n v="50396.0"/>
        <n v="24851.0"/>
        <n v="37820.0"/>
        <n v="50885.0"/>
        <n v="15650.0"/>
        <n v="33047.0"/>
        <n v="42813.0"/>
        <n v="62124.0"/>
        <n v="40391.0"/>
        <n v="41986.0"/>
        <n v="20289.0"/>
        <n v="65941.0"/>
        <n v="4339.0"/>
        <n v="72074.0"/>
        <n v="62071.0"/>
        <n v="5090.0"/>
        <n v="63427.0"/>
        <n v="62923.0"/>
        <n v="68754.0"/>
        <n v="56729.0"/>
        <n v="9213.0"/>
        <n v="12413.0"/>
        <n v="9102.0"/>
        <n v="18699.0"/>
        <m/>
      </sharedItems>
    </cacheField>
    <cacheField name="Status" numFmtId="0">
      <sharedItems containsBlank="1">
        <s v="Returned"/>
        <s v="Pending"/>
        <s v="Completed"/>
        <m/>
      </sharedItems>
    </cacheField>
    <cacheField name="Month" numFmtId="49">
      <sharedItems containsBlank="1">
        <s v="Nov"/>
        <s v="Jul"/>
        <s v="Apr"/>
        <s v="Mar"/>
        <s v="Oct"/>
        <s v="Jun"/>
        <s v="Feb"/>
        <s v="Jan"/>
        <s v="Sep"/>
        <s v="Dec"/>
        <s v="Aug"/>
        <s v="May"/>
        <m/>
      </sharedItems>
    </cacheField>
    <cacheField name="Revenue After Returns" numFmtId="0">
      <sharedItems containsString="0" containsBlank="1" containsNumber="1" containsInteger="1">
        <n v="0.0"/>
        <n v="223182.0"/>
        <n v="1126586.0"/>
        <n v="63918.0"/>
        <n v="95679.0"/>
        <n v="1254720.0"/>
        <n v="338922.0"/>
        <n v="291044.0"/>
        <n v="165744.0"/>
        <n v="281060.0"/>
        <n v="326621.0"/>
        <n v="82060.0"/>
        <n v="895527.0"/>
        <n v="110865.0"/>
        <n v="1235392.0"/>
        <n v="146336.0"/>
        <n v="333655.0"/>
        <n v="292604.0"/>
        <n v="180400.0"/>
        <n v="634528.0"/>
        <n v="487998.0"/>
        <n v="780794.0"/>
        <n v="125730.0"/>
        <n v="26982.0"/>
        <n v="716562.0"/>
        <n v="508759.0"/>
        <n v="417546.0"/>
        <n v="79702.0"/>
        <n v="68084.0"/>
        <n v="222700.0"/>
        <n v="83376.0"/>
        <n v="1494520.0"/>
        <n v="1900.0"/>
        <n v="1196940.0"/>
        <n v="246490.0"/>
        <n v="126577.0"/>
        <n v="684162.0"/>
        <n v="373302.0"/>
        <n v="405520.0"/>
        <n v="347211.0"/>
        <n v="850575.0"/>
        <n v="7830.0"/>
        <n v="259752.0"/>
        <n v="58531.0"/>
        <n v="541884.0"/>
        <n v="169119.0"/>
        <n v="35964.0"/>
        <n v="885088.0"/>
        <n v="671922.0"/>
        <n v="201012.0"/>
        <n v="393488.0"/>
        <n v="363255.0"/>
        <n v="369300.0"/>
        <n v="30355.0"/>
        <n v="20412.0"/>
        <n v="1029041.0"/>
        <n v="627540.0"/>
        <n v="423745.0"/>
        <n v="795756.0"/>
        <n v="375730.0"/>
        <n v="265397.0"/>
        <n v="352080.0"/>
        <n v="147616.0"/>
        <n v="129580.0"/>
        <n v="36442.0"/>
        <n v="302975.0"/>
        <n v="226899.0"/>
        <n v="370678.0"/>
        <n v="18889.0"/>
        <n v="346766.0"/>
        <n v="461125.0"/>
        <n v="70869.0"/>
        <n v="178410.0"/>
        <n v="67671.0"/>
        <n v="1235285.0"/>
        <n v="825578.0"/>
        <n v="140418.0"/>
        <n v="830676.0"/>
        <n v="300534.0"/>
        <n v="193491.0"/>
        <n v="62608.0"/>
        <n v="536560.0"/>
        <n v="539990.0"/>
        <n v="1018992.0"/>
        <n v="1599320.0"/>
        <n v="563960.0"/>
        <n v="88154.0"/>
        <n v="1280559.0"/>
        <n v="872835.0"/>
        <n v="418194.0"/>
        <n v="182403.0"/>
        <n v="514904.0"/>
        <n v="41586.0"/>
        <n v="66350.0"/>
        <n v="300006.0"/>
        <n v="75460.0"/>
        <n v="782320.0"/>
        <n v="785179.0"/>
        <n v="96296.0"/>
        <n v="7997.0"/>
        <n v="159525.0"/>
        <n v="543913.0"/>
        <n v="719472.0"/>
        <n v="141464.0"/>
        <n v="75022.0"/>
        <n v="304704.0"/>
        <n v="346313.0"/>
        <n v="374690.0"/>
        <n v="33659.0"/>
        <n v="675164.0"/>
        <n v="541980.0"/>
        <n v="154533.0"/>
        <n v="6768.0"/>
        <n v="857520.0"/>
        <n v="475392.0"/>
        <n v="567242.0"/>
        <n v="988822.0"/>
        <n v="1062233.0"/>
        <n v="348804.0"/>
        <n v="155060.0"/>
        <n v="369190.0"/>
        <n v="361880.0"/>
        <n v="955500.0"/>
        <n v="146766.0"/>
        <n v="1140300.0"/>
        <n v="128022.0"/>
        <n v="471246.0"/>
        <n v="32126.0"/>
        <n v="1005228.0"/>
        <n v="1250800.0"/>
        <n v="637224.0"/>
        <n v="51248.0"/>
        <n v="77958.0"/>
        <n v="671562.0"/>
        <n v="558522.0"/>
        <n v="1051956.0"/>
        <n v="873697.0"/>
        <n v="241065.0"/>
        <n v="84664.0"/>
        <n v="558355.0"/>
        <n v="931905.0"/>
        <n v="666610.0"/>
        <n v="233091.0"/>
        <n v="687228.0"/>
        <n v="34380.0"/>
        <n v="690042.0"/>
        <n v="50852.0"/>
        <n v="411234.0"/>
        <n v="36100.0"/>
        <n v="889395.0"/>
        <n v="801652.0"/>
        <n v="245472.0"/>
        <n v="37719.0"/>
        <n v="289602.0"/>
        <n v="469005.0"/>
        <n v="590148.0"/>
        <n v="254997.0"/>
        <n v="638988.0"/>
        <n v="244224.0"/>
        <n v="435917.0"/>
        <n v="62270.0"/>
        <n v="218400.0"/>
        <n v="88837.0"/>
        <n v="102402.0"/>
        <n v="543020.0"/>
        <n v="866106.0"/>
        <n v="41514.0"/>
        <n v="1066665.0"/>
        <n v="11084.0"/>
        <n v="182652.0"/>
        <n v="106545.0"/>
        <n v="92636.0"/>
        <n v="139706.0"/>
        <n v="65805.0"/>
        <n v="1220158.0"/>
        <n v="950616.0"/>
        <n v="774160.0"/>
        <n v="648596.0"/>
        <n v="255198.0"/>
        <n v="530876.0"/>
        <n v="98064.0"/>
        <n v="220561.0"/>
        <n v="132140.0"/>
        <n v="190418.0"/>
        <n v="270608.0"/>
        <n v="139320.0"/>
        <n v="36310.0"/>
        <n v="121263.0"/>
        <n v="55760.0"/>
        <n v="1052828.0"/>
        <n v="341120.0"/>
        <n v="344399.0"/>
        <n v="1007920.0"/>
        <n v="273361.0"/>
        <n v="113460.0"/>
        <n v="50885.0"/>
        <n v="31300.0"/>
        <n v="396564.0"/>
        <n v="42813.0"/>
        <n v="993984.0"/>
        <n v="282737.0"/>
        <n v="41986.0"/>
        <n v="405780.0"/>
        <n v="593469.0"/>
        <n v="60746.0"/>
        <n v="993136.0"/>
        <n v="50900.0"/>
        <n v="507416.0"/>
        <n v="1306326.0"/>
        <n v="794206.0"/>
        <n v="173782.0"/>
        <n v="18204.0"/>
        <n v="149592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L301" sheet="Sales"/>
  </cacheSource>
  <cacheFields>
    <cacheField name="Order no." numFmtId="0">
      <sharedItems>
        <s v="ORD-1"/>
        <s v="ORD-2"/>
        <s v="ORD-3"/>
        <s v="ORD-4"/>
        <s v="ORD-5"/>
        <s v="ORD-6"/>
        <s v="ORD-7"/>
        <s v="ORD-8"/>
        <s v="ORD-9"/>
        <s v="ORD-10"/>
        <s v="ORD-11"/>
        <s v="ORD-12"/>
        <s v="ORD-13"/>
        <s v="ORD-14"/>
        <s v="ORD-15"/>
        <s v="ORD-16"/>
        <s v="ORD-17"/>
        <s v="ORD-18"/>
        <s v="ORD-19"/>
        <s v="ORD-20"/>
        <s v="ORD-21"/>
        <s v="ORD-22"/>
        <s v="ORD-23"/>
        <s v="ORD-24"/>
        <s v="ORD-25"/>
        <s v="ORD-26"/>
        <s v="ORD-27"/>
        <s v="ORD-28"/>
        <s v="ORD-29"/>
        <s v="ORD-30"/>
        <s v="ORD-31"/>
        <s v="ORD-32"/>
        <s v="ORD-33"/>
        <s v="ORD-34"/>
        <s v="ORD-35"/>
        <s v="ORD-36"/>
        <s v="ORD-37"/>
        <s v="ORD-38"/>
        <s v="ORD-39"/>
        <s v="ORD-40"/>
        <s v="ORD-41"/>
        <s v="ORD-42"/>
        <s v="ORD-43"/>
        <s v="ORD-44"/>
        <s v="ORD-45"/>
        <s v="ORD-46"/>
        <s v="ORD-47"/>
        <s v="ORD-48"/>
        <s v="ORD-49"/>
        <s v="ORD-50"/>
        <s v="ORD-51"/>
        <s v="ORD-52"/>
        <s v="ORD-53"/>
        <s v="ORD-54"/>
        <s v="ORD-55"/>
        <s v="ORD-56"/>
        <s v="ORD-57"/>
        <s v="ORD-58"/>
        <s v="ORD-59"/>
        <s v="ORD-60"/>
        <s v="ORD-61"/>
        <s v="ORD-62"/>
        <s v="ORD-63"/>
        <s v="ORD-64"/>
        <s v="ORD-65"/>
        <s v="ORD-66"/>
        <s v="ORD-67"/>
        <s v="ORD-68"/>
        <s v="ORD-69"/>
        <s v="ORD-70"/>
        <s v="ORD-71"/>
        <s v="ORD-72"/>
        <s v="ORD-73"/>
        <s v="ORD-74"/>
        <s v="ORD-75"/>
        <s v="ORD-76"/>
        <s v="ORD-77"/>
        <s v="ORD-78"/>
        <s v="ORD-79"/>
        <s v="ORD-80"/>
        <s v="ORD-81"/>
        <s v="ORD-82"/>
        <s v="ORD-83"/>
        <s v="ORD-84"/>
        <s v="ORD-85"/>
        <s v="ORD-86"/>
        <s v="ORD-87"/>
        <s v="ORD-88"/>
        <s v="ORD-89"/>
        <s v="ORD-90"/>
        <s v="ORD-91"/>
        <s v="ORD-92"/>
        <s v="ORD-93"/>
        <s v="ORD-94"/>
        <s v="ORD-95"/>
        <s v="ORD-96"/>
        <s v="ORD-97"/>
        <s v="ORD-98"/>
        <s v="ORD-99"/>
        <s v="ORD-100"/>
        <s v="ORD-101"/>
        <s v="ORD-102"/>
        <s v="ORD-103"/>
        <s v="ORD-104"/>
        <s v="ORD-105"/>
        <s v="ORD-106"/>
        <s v="ORD-107"/>
        <s v="ORD-108"/>
        <s v="ORD-109"/>
        <s v="ORD-110"/>
        <s v="ORD-111"/>
        <s v="ORD-112"/>
        <s v="ORD-113"/>
        <s v="ORD-114"/>
        <s v="ORD-115"/>
        <s v="ORD-116"/>
        <s v="ORD-117"/>
        <s v="ORD-118"/>
        <s v="ORD-119"/>
        <s v="ORD-120"/>
        <s v="ORD-121"/>
        <s v="ORD-122"/>
        <s v="ORD-123"/>
        <s v="ORD-124"/>
        <s v="ORD-125"/>
        <s v="ORD-126"/>
        <s v="ORD-127"/>
        <s v="ORD-128"/>
        <s v="ORD-129"/>
        <s v="ORD-130"/>
        <s v="ORD-131"/>
        <s v="ORD-132"/>
        <s v="ORD-133"/>
        <s v="ORD-134"/>
        <s v="ORD-135"/>
        <s v="ORD-136"/>
        <s v="ORD-137"/>
        <s v="ORD-138"/>
        <s v="ORD-139"/>
        <s v="ORD-140"/>
        <s v="ORD-141"/>
        <s v="ORD-142"/>
        <s v="ORD-143"/>
        <s v="ORD-144"/>
        <s v="ORD-145"/>
        <s v="ORD-146"/>
        <s v="ORD-147"/>
        <s v="ORD-148"/>
        <s v="ORD-149"/>
        <s v="ORD-150"/>
        <s v="ORD-151"/>
        <s v="ORD-152"/>
        <s v="ORD-153"/>
        <s v="ORD-154"/>
        <s v="ORD-155"/>
        <s v="ORD-156"/>
        <s v="ORD-157"/>
        <s v="ORD-158"/>
        <s v="ORD-159"/>
        <s v="ORD-160"/>
        <s v="ORD-161"/>
        <s v="ORD-162"/>
        <s v="ORD-163"/>
        <s v="ORD-164"/>
        <s v="ORD-165"/>
        <s v="ORD-166"/>
        <s v="ORD-167"/>
        <s v="ORD-168"/>
        <s v="ORD-169"/>
        <s v="ORD-170"/>
        <s v="ORD-171"/>
        <s v="ORD-172"/>
        <s v="ORD-173"/>
        <s v="ORD-174"/>
        <s v="ORD-175"/>
        <s v="ORD-176"/>
        <s v="ORD-177"/>
        <s v="ORD-178"/>
        <s v="ORD-179"/>
        <s v="ORD-180"/>
        <s v="ORD-181"/>
        <s v="ORD-182"/>
        <s v="ORD-183"/>
        <s v="ORD-184"/>
        <s v="ORD-185"/>
        <s v="ORD-186"/>
        <s v="ORD-187"/>
        <s v="ORD-188"/>
        <s v="ORD-189"/>
        <s v="ORD-190"/>
        <s v="ORD-191"/>
        <s v="ORD-192"/>
        <s v="ORD-193"/>
        <s v="ORD-194"/>
        <s v="ORD-195"/>
        <s v="ORD-196"/>
        <s v="ORD-197"/>
        <s v="ORD-198"/>
        <s v="ORD-199"/>
        <s v="ORD-200"/>
        <s v="ORD-201"/>
        <s v="ORD-202"/>
        <s v="ORD-203"/>
        <s v="ORD-204"/>
        <s v="ORD-205"/>
        <s v="ORD-206"/>
        <s v="ORD-207"/>
        <s v="ORD-208"/>
        <s v="ORD-209"/>
        <s v="ORD-210"/>
        <s v="ORD-211"/>
        <s v="ORD-212"/>
        <s v="ORD-213"/>
        <s v="ORD-214"/>
        <s v="ORD-215"/>
        <s v="ORD-216"/>
        <s v="ORD-217"/>
        <s v="ORD-218"/>
        <s v="ORD-219"/>
        <s v="ORD-220"/>
        <s v="ORD-221"/>
        <s v="ORD-222"/>
        <s v="ORD-223"/>
        <s v="ORD-224"/>
        <s v="ORD-225"/>
        <s v="ORD-226"/>
        <s v="ORD-227"/>
        <s v="ORD-228"/>
        <s v="ORD-229"/>
        <s v="ORD-230"/>
        <s v="ORD-231"/>
        <s v="ORD-232"/>
        <s v="ORD-233"/>
        <s v="ORD-234"/>
        <s v="ORD-235"/>
        <s v="ORD-236"/>
        <s v="ORD-237"/>
        <s v="ORD-238"/>
        <s v="ORD-239"/>
        <s v="ORD-240"/>
        <s v="ORD-241"/>
        <s v="ORD-242"/>
        <s v="ORD-243"/>
        <s v="ORD-244"/>
        <s v="ORD-245"/>
        <s v="ORD-246"/>
        <s v="ORD-247"/>
        <s v="ORD-248"/>
        <s v="ORD-249"/>
        <s v="ORD-250"/>
        <s v="ORD-251"/>
        <s v="ORD-252"/>
        <s v="ORD-253"/>
        <s v="ORD-254"/>
        <s v="ORD-255"/>
        <s v="ORD-256"/>
        <s v="ORD-257"/>
        <s v="ORD-258"/>
        <s v="ORD-259"/>
        <s v="ORD-260"/>
        <s v="ORD-261"/>
        <s v="ORD-262"/>
        <s v="ORD-263"/>
        <s v="ORD-264"/>
        <s v="ORD-265"/>
        <s v="ORD-266"/>
        <s v="ORD-267"/>
        <s v="ORD-268"/>
        <s v="ORD-269"/>
        <s v="ORD-270"/>
        <s v="ORD-271"/>
        <s v="ORD-272"/>
        <s v="ORD-273"/>
        <s v="ORD-274"/>
        <s v="ORD-275"/>
        <s v="ORD-276"/>
        <s v="ORD-277"/>
        <s v="ORD-278"/>
        <s v="ORD-279"/>
        <s v="ORD-280"/>
        <s v="ORD-281"/>
        <s v="ORD-282"/>
        <s v="ORD-283"/>
        <s v="ORD-284"/>
        <s v="ORD-285"/>
        <s v="ORD-286"/>
        <s v="ORD-287"/>
        <s v="ORD-288"/>
        <s v="ORD-289"/>
        <s v="ORD-290"/>
        <s v="ORD-291"/>
        <s v="ORD-292"/>
        <s v="ORD-293"/>
        <s v="ORD-294"/>
        <s v="ORD-295"/>
        <s v="ORD-296"/>
        <s v="ORD-297"/>
        <s v="ORD-298"/>
        <s v="ORD-299"/>
        <s v="ORD-300"/>
      </sharedItems>
    </cacheField>
    <cacheField name="Date">
      <sharedItems containsDate="1" containsMixedTypes="1">
        <s v="11/30/2024"/>
        <s v="07/29/2024"/>
        <s v="04/14/2024"/>
        <d v="2024-08-03T00:00:00Z"/>
        <s v="07/31/2024"/>
        <d v="2024-12-03T00:00:00Z"/>
        <s v="10/22/2024"/>
        <s v="06/16/2024"/>
        <s v="02/15/2024"/>
        <d v="2024-06-04T00:00:00Z"/>
        <d v="2024-03-01T00:00:00Z"/>
        <s v="09/21/2024"/>
        <d v="2024-01-06T00:00:00Z"/>
        <s v="12/15/2024"/>
        <s v="11/20/2024"/>
        <d v="2024-11-06T00:00:00Z"/>
        <s v="12/29/2024"/>
        <s v="01/14/2024"/>
        <s v="12/23/2024"/>
        <s v="04/26/2024"/>
        <s v="10/24/2024"/>
        <s v="09/18/2024"/>
        <s v="03/29/2024"/>
        <d v="2024-08-08T00:00:00Z"/>
        <d v="2024-03-04T00:00:00Z"/>
        <s v="03/23/2024"/>
        <d v="2024-01-07T00:00:00Z"/>
        <d v="2024-02-01T00:00:00Z"/>
        <s v="01/27/2024"/>
        <d v="2024-05-12T00:00:00Z"/>
        <s v="03/25/2024"/>
        <s v="10/31/2024"/>
        <d v="2024-02-09T00:00:00Z"/>
        <d v="2024-11-05T00:00:00Z"/>
        <s v="08/25/2024"/>
        <d v="2024-11-02T00:00:00Z"/>
        <s v="04/29/2024"/>
        <s v="11/14/2024"/>
        <s v="08/13/2024"/>
        <d v="2024-08-06T00:00:00Z"/>
        <s v="01/31/2024"/>
        <s v="08/15/2024"/>
        <s v="10/13/2024"/>
        <d v="2024-02-08T00:00:00Z"/>
        <s v="02/14/2024"/>
        <s v="01/24/2024"/>
        <d v="2024-10-05T00:00:00Z"/>
        <d v="2024-08-11T00:00:00Z"/>
        <s v="10/23/2024"/>
        <d v="2024-10-03T00:00:00Z"/>
        <d v="2024-12-12T00:00:00Z"/>
        <s v="08/23/2024"/>
        <s v="09/24/2024"/>
        <s v="01/22/2024"/>
        <s v="05/25/2024"/>
        <s v="02/20/2024"/>
        <d v="2024-05-03T00:00:00Z"/>
        <d v="2024-10-06T00:00:00Z"/>
        <s v="06/14/2024"/>
        <d v="2024-01-10T00:00:00Z"/>
        <d v="2024-12-07T00:00:00Z"/>
        <s v="12/20/2024"/>
        <d v="2024-10-01T00:00:00Z"/>
        <d v="2024-06-01T00:00:00Z"/>
        <s v="11/27/2024"/>
        <s v="06/28/2024"/>
        <d v="2024-02-10T00:00:00Z"/>
        <s v="05/30/2024"/>
        <s v="11/25/2024"/>
        <d v="2024-07-09T00:00:00Z"/>
        <d v="2024-12-05T00:00:00Z"/>
        <d v="2024-12-06T00:00:00Z"/>
        <s v="08/14/2024"/>
        <d v="2024-09-12T00:00:00Z"/>
        <d v="2024-07-10T00:00:00Z"/>
        <s v="10/29/2024"/>
        <d v="2024-04-02T00:00:00Z"/>
        <s v="05/20/2024"/>
        <s v="09/13/2024"/>
        <s v="03/24/2024"/>
        <s v="05/24/2024"/>
        <d v="2024-06-05T00:00:00Z"/>
        <s v="11/29/2024"/>
        <s v="11/24/2024"/>
        <s v="09/16/2024"/>
        <d v="2024-12-04T00:00:00Z"/>
        <s v="01/29/2024"/>
        <d v="2024-09-05T00:00:00Z"/>
        <d v="2024-12-10T00:00:00Z"/>
        <s v="07/23/2024"/>
        <d v="2024-12-02T00:00:00Z"/>
        <s v="11/26/2024"/>
        <s v="02/16/2024"/>
        <s v="09/23/2024"/>
        <s v="06/22/2024"/>
        <d v="2024-06-09T00:00:00Z"/>
        <s v="07/13/2024"/>
        <s v="02/13/2024"/>
        <d v="2024-12-08T00:00:00Z"/>
        <d v="2024-05-10T00:00:00Z"/>
        <d v="2024-05-07T00:00:00Z"/>
        <d v="2024-10-02T00:00:00Z"/>
        <d v="2024-09-04T00:00:00Z"/>
        <s v="03/13/2024"/>
        <s v="01/28/2024"/>
        <s v="05/14/2024"/>
        <d v="2024-11-01T00:00:00Z"/>
        <d v="2024-11-10T00:00:00Z"/>
        <s v="01/17/2024"/>
        <d v="2024-03-07T00:00:00Z"/>
        <s v="09/14/2024"/>
        <s v="12/24/2024"/>
        <s v="02/28/2024"/>
        <d v="2024-02-07T00:00:00Z"/>
        <d v="2024-06-08T00:00:00Z"/>
        <s v="04/15/2024"/>
        <d v="2024-03-12T00:00:00Z"/>
        <d v="2024-12-01T00:00:00Z"/>
        <d v="2024-03-11T00:00:00Z"/>
        <s v="11/16/2024"/>
        <d v="2024-11-07T00:00:00Z"/>
        <s v="09/27/2024"/>
        <s v="09/22/2024"/>
        <d v="2024-04-09T00:00:00Z"/>
        <s v="08/18/2024"/>
        <d v="2024-05-09T00:00:00Z"/>
        <s v="06/13/2024"/>
        <s v="05/28/2024"/>
        <s v="07/27/2024"/>
        <d v="2024-05-01T00:00:00Z"/>
        <s v="02/27/2024"/>
        <s v="07/17/2024"/>
        <s v="05/18/2024"/>
        <d v="2024-07-06T00:00:00Z"/>
        <d v="2024-07-07T00:00:00Z"/>
        <s v="06/27/2024"/>
        <s v="10/28/2024"/>
        <d v="2024-03-05T00:00:00Z"/>
        <d v="2024-08-09T00:00:00Z"/>
        <s v="10/27/2024"/>
        <s v="04/22/2024"/>
        <d v="2024-09-09T00:00:00Z"/>
        <d v="2024-11-03T00:00:00Z"/>
        <d v="2024-11-09T00:00:00Z"/>
        <s v="04/20/2024"/>
        <s v="12/26/2024"/>
        <s v="05/21/2024"/>
        <s v="11/22/2024"/>
        <d v="2024-08-12T00:00:00Z"/>
        <s v="07/22/2024"/>
        <s v="03/26/2024"/>
        <s v="09/30/2024"/>
        <s v="12/13/2024"/>
        <s v="10/20/2024"/>
        <s v="03/21/2024"/>
        <s v="07/26/2024"/>
        <s v="12/30/2024"/>
        <d v="2024-06-02T00:00:00Z"/>
        <s v="08/20/2024"/>
        <d v="2024-02-04T00:00:00Z"/>
        <s v="01/25/2024"/>
        <s v="01/30/2024"/>
        <d v="2024-04-11T00:00:00Z"/>
        <d v="2024-03-03T00:00:00Z"/>
        <s v="09/29/2024"/>
        <s v="10/14/2024"/>
        <d v="2024-07-02T00:00:00Z"/>
        <s v="08/27/2024"/>
        <d v="2024-11-12T00:00:00Z"/>
        <s v="09/20/2024"/>
        <d v="2024-10-10T00:00:00Z"/>
        <s v="06/19/2024"/>
        <s v="04/13/2024"/>
        <s v="08/28/2024"/>
        <s v="02/17/2024"/>
        <d v="2024-08-10T00:00:00Z"/>
        <s v="03/20/2024"/>
        <s v="02/21/2024"/>
        <d v="2024-07-04T00:00:00Z"/>
        <s v="01/16/2024"/>
        <s v="12/14/2024"/>
        <d v="2024-06-12T00:00:00Z"/>
        <s v="12/19/2024"/>
        <s v="04/28/2024"/>
        <d v="2024-03-08T00:00:00Z"/>
        <d v="2024-02-05T00:00:00Z"/>
        <s v="12/28/2024"/>
        <s v="03/31/2024"/>
        <d v="2024-06-10T00:00:00Z"/>
        <s v="02/22/2024"/>
        <d v="2024-09-11T00:00:00Z"/>
        <s v="10/19/2024"/>
        <s v="07/30/2024"/>
        <s v="05/31/2024"/>
        <d v="2024-04-08T00:00:00Z"/>
        <s v="03/22/2024"/>
        <d v="2024-08-05T00:00:00Z"/>
        <s v="04/25/2024"/>
        <s v="03/16/2024"/>
        <s v="01/26/2024"/>
        <s v="06/17/2024"/>
        <d v="2024-03-10T00:00:00Z"/>
        <s v="03/14/2024"/>
        <s v="02/26/2024"/>
        <s v="12/25/2024"/>
        <s v="02/25/2024"/>
      </sharedItems>
    </cacheField>
    <cacheField name="Region" numFmtId="0">
      <sharedItems>
        <s v="East"/>
        <s v="West"/>
        <s v="South"/>
        <s v="North"/>
      </sharedItems>
    </cacheField>
    <cacheField name="Salesperson" numFmtId="0">
      <sharedItems>
        <s v="Drusie Stedmond"/>
        <s v="Piggy Charlewood"/>
        <s v="Duky Ronisch"/>
        <s v="Gabe Howell"/>
        <s v="Burr Jago"/>
        <s v="Wenonah Hallatt"/>
        <s v="Lurette Heavyside"/>
        <s v="Malcolm Poulsum"/>
        <s v="Carr Prisley"/>
        <s v="Chickie Dayley"/>
        <s v="Annalise Plowman"/>
        <s v="Janessa Bladder"/>
        <s v="Orrin Suarez"/>
        <s v="Fallon Simonassi"/>
        <s v="Bobinette Lakenton"/>
        <s v="Elisabeth Give"/>
        <s v="Meggi Bodechon"/>
        <s v="Lorrie Rogers"/>
        <s v="Avictor Curreen"/>
        <s v="Zilvia Muat"/>
        <s v="Bradley Wiggins"/>
        <s v="Carey Oloshin"/>
        <s v="Moreen Yeldham"/>
        <s v="Trula Cobbin"/>
        <s v="Lizette Hadye"/>
        <s v="Fey Walworth"/>
        <s v="Casper Tixall"/>
        <s v="Chance Abbiss"/>
        <s v="Kelley Carren"/>
        <s v="Royal Madner"/>
        <s v="Christoper Maevela"/>
        <s v="Torrie Targett"/>
        <s v="Griffin Showl"/>
        <s v="Eldredge Hair"/>
        <s v="Gaspard Obbard"/>
        <s v="Clari Pablo"/>
        <s v="Bordy Morilla"/>
        <s v="Giustino Thorne"/>
        <s v="Winnifred Pocklington"/>
        <s v="Humfrid Brockman"/>
        <s v="Cosme Leonida"/>
        <s v="Tomas Wybourne"/>
        <s v="Mufinella Liversley"/>
        <s v="Emmett Coode"/>
        <s v="Koenraad Kryszka"/>
        <s v="Jase Pallis"/>
        <s v="Ferris Corneille"/>
        <s v="Sigfrid Leyre"/>
        <s v="Alfie Edkins"/>
        <s v="Percival Licciardi"/>
        <s v="Tilda Warmisham"/>
        <s v="Stewart Yanukhin"/>
        <s v="Silvester Steiner"/>
        <s v="Calv Blackney"/>
        <s v="Nicola Killcross"/>
        <s v="Denys Amberger"/>
        <s v="Vally Nyles"/>
        <s v="Pincas Nutten"/>
        <s v="Kit Sheards"/>
        <s v="Frans Lickorish"/>
        <s v="Curcio Bondesen"/>
        <s v="Veronique Cajkler"/>
        <s v="Clare Frill"/>
        <s v="Corrina German"/>
        <s v="Hendrika Ivashintsov"/>
        <s v="Ewart Glasby"/>
        <s v="Balduin Mandifield"/>
        <s v="Kevin Penney"/>
        <s v="Arleyne Badham"/>
        <s v="Ian Spary"/>
        <s v="Herc Chalmers"/>
        <s v="Saul Rhymer"/>
        <s v="Nicolais MacCrossan"/>
        <s v="Osgood Claeskens"/>
        <s v="Patrick Klimt"/>
        <s v="Vic Hammond"/>
        <s v="Barb Minihan"/>
        <s v="Curtis Ashburner"/>
        <s v="Emlyn Borrowman"/>
        <s v="Vidovic Bonson"/>
        <s v="Octavius Steggals"/>
        <s v="Bobbee Hammerman"/>
        <s v="Mercie Lines"/>
        <s v="Giovanni Gostyke"/>
        <s v="Gabbey Christopher"/>
        <s v="Kendricks Keneforde"/>
        <s v="Trumaine Molloy"/>
        <s v="Brunhilde Jerke"/>
        <s v="Lamont Rosenstengel"/>
        <s v="Silvana McKirton"/>
        <s v="Chip Cathery"/>
        <s v="Anselm Oldacres"/>
        <s v="Robby Burnyeat"/>
        <s v="Gannie Pruckner"/>
        <s v="Essie Nossent"/>
        <s v="Fanny Smalman"/>
        <s v="Deeann Annets"/>
        <s v="Kristi Hoodless"/>
        <s v="Bil Ivanchov"/>
        <s v="Rozamond Dinnis"/>
        <s v="Josephina McAlinden"/>
        <s v="Clywd Winskill"/>
        <s v="Anita Hustler"/>
        <s v="Sammy Lovegrove"/>
        <s v="Mahmoud Riccione"/>
        <s v="Mattie Gilberthorpe"/>
        <s v="Cordula Boobier"/>
        <s v="Barn Rouch"/>
        <s v="Neda Maccaddie"/>
        <s v="Juanita Haugen"/>
        <s v="Jayme Raymont"/>
        <s v="Johan Saylor"/>
        <s v="Shelbi Mallison"/>
        <s v="Dorie Toghill"/>
        <s v="Kristi Iddison"/>
        <s v="Maury Breede"/>
        <s v="Janek Managh"/>
        <s v="Hermy Warnes"/>
        <s v="Rod Attoe"/>
        <s v="Britney Siddaley"/>
        <s v="Devi Schohier"/>
        <s v="Savina Skin"/>
        <s v="Wilfrid Boyford"/>
        <s v="Ronny Gumbrell"/>
        <s v="Karee Rossant"/>
        <s v="Truda Muneely"/>
        <s v="Maren Osichev"/>
        <s v="Babette Chavey"/>
        <s v="Jaquenette Glyne"/>
        <s v="Gradeigh Tinwell"/>
        <s v="Marissa Dempsey"/>
        <s v="Langsdon Tilburn"/>
        <s v="Quintus Christene"/>
        <s v="Roxie Arnall"/>
        <s v="Gregg Phlippsen"/>
        <s v="Jerry Evequot"/>
        <s v="Boniface Franz-Schoninger"/>
        <s v="Bili McVeighty"/>
        <s v="Raye Payle"/>
        <s v="Marietta Dahle"/>
        <s v="Ara Baulch"/>
        <s v="Aldwin Bernet"/>
        <s v="Stafani Ker"/>
        <s v="Jules Fasler"/>
        <s v="Dorene Lukovic"/>
        <s v="Beverley Overthrow"/>
        <s v="De witt Hastie"/>
        <s v="Gabi Forte"/>
        <s v="Susy Prydden"/>
        <s v="Kristine Self"/>
        <s v="Lisabeth Geharke"/>
        <s v="Saloma Gitting"/>
        <s v="Patrica Job"/>
        <s v="Guillermo Kiffin"/>
        <s v="Tybalt Gawler"/>
        <s v="Hurlee Garwood"/>
        <s v="D'arcy Lyptratt"/>
        <s v="Mattie Tolson"/>
        <s v="Savina Chaffe"/>
        <s v="Aylmar Varrow"/>
        <s v="Cindra Petken"/>
        <s v="Uta Freak"/>
        <s v="Sonnie Welling"/>
        <s v="Felike Damper"/>
        <s v="Laurent Linne"/>
        <s v="Godwin Screach"/>
        <s v="Emyle Titchmarsh"/>
        <s v="Neall Graalman"/>
        <s v="Vanya Luberto"/>
        <s v="Alison Vasyagin"/>
        <s v="Tessi Giacomuzzo"/>
        <s v="Douglas Messruther"/>
        <s v="Polly Ravenshear"/>
        <s v="Neddy Tellett"/>
        <s v="Dud Randle"/>
        <s v="Scot McDyer"/>
        <s v="Yehudi Wearn"/>
        <s v="Kelci Fehner"/>
        <s v="Christyna Daverin"/>
        <s v="Teddy Edwins"/>
        <s v="Myles Barringer"/>
        <s v="Marinna Dumini"/>
        <s v="Stavro Van Dale"/>
        <s v="Adel Matfin"/>
        <s v="Ritchie Chaulk"/>
        <s v="Jaimie Dickey"/>
        <s v="Judas Scanlon"/>
        <s v="Nikki Dunbavin"/>
        <s v="Lorenzo Lowdwell"/>
        <s v="Demetria Gwinn"/>
        <s v="Kingston Whodcoat"/>
        <s v="Katheryn Binfield"/>
        <s v="Fabian Scudder"/>
        <s v="Cori Assante"/>
        <s v="Giffie Rearie"/>
        <s v="Kathlin Gewer"/>
        <s v="Ainsley Wesley"/>
        <s v="Kip Stappard"/>
        <s v="Lura Tripney"/>
        <s v="Clyde Mousley"/>
        <s v="Sandor Arrundale"/>
        <s v="Laverna Blunsen"/>
        <s v="Idette Morfey"/>
        <s v="Gabbie Outright"/>
        <s v="Jonas Plowell"/>
        <s v="Rolando Laity"/>
        <s v="Ennis Dark"/>
        <s v="Winona Sheirlaw"/>
        <s v="Claire Theyer"/>
        <s v="Vania Aimeric"/>
        <s v="Tara Winskill"/>
        <s v="Harrison Feye"/>
        <s v="Hunter Knappitt"/>
        <s v="Sampson Kilfeder"/>
        <s v="Berton Penniall"/>
        <s v="Moyna Picardo"/>
        <s v="Kimberli Motion"/>
        <s v="Emlyn Lawther"/>
        <s v="Lou Dockery"/>
        <s v="Cornall Summons"/>
        <s v="Charla Leguey"/>
        <s v="Othilie Cluderay"/>
        <s v="Marieann Derdes"/>
        <s v="Alberik Bradick"/>
        <s v="Nicolette Snoad"/>
        <s v="Nerta Daniel"/>
        <s v="Philippe Klempke"/>
        <s v="Rosalinde Parley"/>
        <s v="Iosep Rentilll"/>
        <s v="Eadie Shilito"/>
        <s v="Gratia Pirie"/>
        <s v="Pattie Kimmons"/>
        <s v="Forrest Forton"/>
        <s v="Gillie Ojeda"/>
        <s v="Ardelle O'Meara"/>
        <s v="Hilda Blacktin"/>
        <s v="Halsey Judson"/>
        <s v="Haily Sola"/>
        <s v="Papageno Pitcock"/>
        <s v="Darnall Rannells"/>
        <s v="Arluene Powderham"/>
        <s v="Wells Fer"/>
        <s v="Bobette Rubens"/>
        <s v="Amitie Dunge"/>
        <s v="Lorinda Luety"/>
        <s v="Jethro Fraser"/>
        <s v="Umberto Egle"/>
        <s v="Bailey Hickinbottom"/>
        <s v="Herbie Anespie"/>
        <s v="Barrie Byrom"/>
        <s v="Bobbie Owens"/>
        <s v="Sadie Djorvic"/>
        <s v="Doralia Fagence"/>
        <s v="Phaedra Rabson"/>
        <s v="Amby Connerly"/>
        <s v="Janek Shepperd"/>
        <s v="Krissy Tomaini"/>
        <s v="Nerita Nendick"/>
        <s v="Hilary McAughtry"/>
        <s v="Normy Andrzejowski"/>
        <s v="Karil Garthside"/>
        <s v="Flori Wanjek"/>
        <s v="Bibby Weblin"/>
        <s v="Batsheva Fielding"/>
        <s v="Carlie Priden"/>
        <s v="Gratiana Searjeant"/>
        <s v="Minnaminnie Wallice"/>
        <s v="Fey Vizard"/>
        <s v="Clyde Wickey"/>
        <s v="Neddie Joiris"/>
        <s v="Worthington Keysel"/>
        <s v="Alexio Wiltsher"/>
        <s v="Berty Perl"/>
        <s v="Kliment Jencken"/>
        <s v="Shane Dunnan"/>
        <s v="Rafi Dagleas"/>
        <s v="Clemence Gillooly"/>
        <s v="Christiane Blanc"/>
        <s v="Karilynn Corradetti"/>
        <s v="Marielle Dugan"/>
        <s v="Jo Hunnicutt"/>
        <s v="Orbadiah Smout"/>
        <s v="Max Boulton"/>
        <s v="Renato MacTurlough"/>
        <s v="Nert Traut"/>
        <s v="Giraldo Harsant"/>
        <s v="Leanora Wimms"/>
        <s v="Anya Aslam"/>
        <s v="Frants Gratten"/>
        <s v="Abbe Hailwood"/>
        <s v="Caron Postan"/>
        <s v="Kalil Scowen"/>
        <s v="Hewett Isham"/>
        <s v="Bancroft Rosle"/>
        <s v="Reinwald Gyenes"/>
        <s v="Udale Aspinell"/>
        <s v="Jesus Ferenc"/>
        <s v="Evangelin Halcro"/>
        <s v="Wolf Glaum"/>
        <s v="Rowan Childers"/>
      </sharedItems>
    </cacheField>
    <cacheField name="Category" numFmtId="0">
      <sharedItems>
        <s v="Accessories"/>
        <s v="Mobiles"/>
        <s v="Laptops"/>
      </sharedItems>
    </cacheField>
    <cacheField name="Unit Sold" numFmtId="0">
      <sharedItems containsSemiMixedTypes="0" containsString="0" containsNumber="1" containsInteger="1">
        <n v="14.0"/>
        <n v="3.0"/>
        <n v="19.0"/>
        <n v="1.0"/>
        <n v="16.0"/>
        <n v="6.0"/>
        <n v="2.0"/>
        <n v="18.0"/>
        <n v="13.0"/>
        <n v="5.0"/>
        <n v="17.0"/>
        <n v="8.0"/>
        <n v="4.0"/>
        <n v="10.0"/>
        <n v="9.0"/>
        <n v="11.0"/>
        <n v="15.0"/>
        <n v="12.0"/>
        <n v="20.0"/>
        <n v="7.0"/>
      </sharedItems>
    </cacheField>
    <cacheField name="Unit Price" numFmtId="0">
      <sharedItems containsSemiMixedTypes="0" containsString="0" containsNumber="1" containsInteger="1">
        <n v="8148.0"/>
        <n v="74394.0"/>
        <n v="59294.0"/>
        <n v="63918.0"/>
        <n v="75554.0"/>
        <n v="31893.0"/>
        <n v="78420.0"/>
        <n v="56487.0"/>
        <n v="12129.0"/>
        <n v="4204.0"/>
        <n v="22388.0"/>
        <n v="71188.0"/>
        <n v="10359.0"/>
        <n v="21620.0"/>
        <n v="45721.0"/>
        <n v="19213.0"/>
        <n v="16412.0"/>
        <n v="47133.0"/>
        <n v="32588.0"/>
        <n v="22173.0"/>
        <n v="77212.0"/>
        <n v="78714.0"/>
        <n v="73168.0"/>
        <n v="42894.0"/>
        <n v="66731.0"/>
        <n v="73151.0"/>
        <n v="18040.0"/>
        <n v="79316.0"/>
        <n v="27111.0"/>
        <n v="55771.0"/>
        <n v="20955.0"/>
        <n v="2998.0"/>
        <n v="65142.0"/>
        <n v="29927.0"/>
        <n v="46394.0"/>
        <n v="39851.0"/>
        <n v="16416.0"/>
        <n v="34042.0"/>
        <n v="53601.0"/>
        <n v="51576.0"/>
        <n v="55675.0"/>
        <n v="66364.0"/>
        <n v="4632.0"/>
        <n v="74726.0"/>
        <n v="1900.0"/>
        <n v="34574.0"/>
        <n v="59847.0"/>
        <n v="24649.0"/>
        <n v="11507.0"/>
        <n v="76018.0"/>
        <n v="62217.0"/>
        <n v="50690.0"/>
        <n v="38579.0"/>
        <n v="77325.0"/>
        <n v="5631.0"/>
        <n v="783.0"/>
        <n v="32469.0"/>
        <n v="36675.0"/>
        <n v="1974.0"/>
        <n v="58531.0"/>
        <n v="19588.0"/>
        <n v="56913.0"/>
        <n v="38706.0"/>
        <n v="18791.0"/>
        <n v="17982.0"/>
        <n v="34763.0"/>
        <n v="52064.0"/>
        <n v="37329.0"/>
        <n v="58945.0"/>
        <n v="30752.0"/>
        <n v="20376.0"/>
        <n v="16751.0"/>
        <n v="49186.0"/>
        <n v="24217.0"/>
        <n v="30775.0"/>
        <n v="6071.0"/>
        <n v="18627.0"/>
        <n v="48389.0"/>
        <n v="2916.0"/>
        <n v="79157.0"/>
        <n v="62754.0"/>
        <n v="49327.0"/>
        <n v="60535.0"/>
        <n v="66313.0"/>
        <n v="75146.0"/>
        <n v="24127.0"/>
        <n v="70416.0"/>
        <n v="18452.0"/>
        <n v="6820.0"/>
        <n v="10098.0"/>
        <n v="18221.0"/>
        <n v="42310.0"/>
        <n v="46844.0"/>
        <n v="60595.0"/>
        <n v="25211.0"/>
        <n v="52954.0"/>
        <n v="1453.0"/>
        <n v="49538.0"/>
        <n v="65875.0"/>
        <n v="23623.0"/>
        <n v="30342.0"/>
        <n v="17841.0"/>
        <n v="31614.0"/>
        <n v="67671.0"/>
        <n v="20544.0"/>
        <n v="65015.0"/>
        <n v="69263.0"/>
        <n v="63506.0"/>
        <n v="15602.0"/>
        <n v="37663.0"/>
        <n v="75516.0"/>
        <n v="23118.0"/>
        <n v="43273.0"/>
        <n v="21499.0"/>
        <n v="31304.0"/>
        <n v="26828.0"/>
        <n v="62995.0"/>
        <n v="49090.0"/>
        <n v="78384.0"/>
        <n v="79966.0"/>
        <n v="61863.0"/>
        <n v="28198.0"/>
        <n v="8014.0"/>
        <n v="75327.0"/>
        <n v="58189.0"/>
        <n v="10840.0"/>
        <n v="23233.0"/>
        <n v="20267.0"/>
        <n v="39608.0"/>
        <n v="13862.0"/>
        <n v="60506.0"/>
        <n v="14509.0"/>
        <n v="33175.0"/>
        <n v="16667.0"/>
        <n v="72713.0"/>
        <n v="37730.0"/>
        <n v="56762.0"/>
        <n v="71120.0"/>
        <n v="42761.0"/>
        <n v="57797.0"/>
        <n v="51415.0"/>
        <n v="46187.0"/>
        <n v="48148.0"/>
        <n v="727.0"/>
        <n v="61512.0"/>
        <n v="10635.0"/>
        <n v="28627.0"/>
        <n v="44967.0"/>
        <n v="70732.0"/>
        <n v="75022.0"/>
        <n v="21040.0"/>
        <n v="50784.0"/>
        <n v="31483.0"/>
        <n v="74938.0"/>
        <n v="33659.0"/>
        <n v="63132.0"/>
        <n v="59701.0"/>
        <n v="48226.0"/>
        <n v="50614.0"/>
        <n v="61445.0"/>
        <n v="35824.0"/>
        <n v="27099.0"/>
        <n v="51511.0"/>
        <n v="36933.0"/>
        <n v="1692.0"/>
        <n v="57168.0"/>
        <n v="39616.0"/>
        <n v="43634.0"/>
        <n v="60779.0"/>
        <n v="58166.0"/>
        <n v="55907.0"/>
        <n v="19378.0"/>
        <n v="77530.0"/>
        <n v="73838.0"/>
        <n v="56796.0"/>
        <n v="70206.0"/>
        <n v="47400.0"/>
        <n v="18094.0"/>
        <n v="68250.0"/>
        <n v="73383.0"/>
        <n v="76020.0"/>
        <n v="64011.0"/>
        <n v="78541.0"/>
        <n v="16063.0"/>
        <n v="69565.0"/>
        <n v="29498.0"/>
        <n v="71802.0"/>
        <n v="62540.0"/>
        <n v="51149.0"/>
        <n v="79653.0"/>
        <n v="6406.0"/>
        <n v="15625.0"/>
        <n v="4331.0"/>
        <n v="74618.0"/>
        <n v="31029.0"/>
        <n v="34577.0"/>
        <n v="58442.0"/>
        <n v="79427.0"/>
        <n v="48213.0"/>
        <n v="4456.0"/>
        <n v="58924.0"/>
        <n v="79765.0"/>
        <n v="71685.0"/>
        <n v="66661.0"/>
        <n v="77697.0"/>
        <n v="57269.0"/>
        <n v="17190.0"/>
        <n v="36318.0"/>
        <n v="25426.0"/>
        <n v="68539.0"/>
        <n v="1805.0"/>
        <n v="59293.0"/>
        <n v="47156.0"/>
        <n v="20456.0"/>
        <n v="4191.0"/>
        <n v="48267.0"/>
        <n v="31267.0"/>
        <n v="49179.0"/>
        <n v="28333.0"/>
        <n v="45642.0"/>
        <n v="27136.0"/>
        <n v="22943.0"/>
        <n v="35995.0"/>
        <n v="16458.0"/>
        <n v="20028.0"/>
        <n v="66730.0"/>
        <n v="2227.0"/>
        <n v="4790.0"/>
        <n v="54600.0"/>
        <n v="12691.0"/>
        <n v="17067.0"/>
        <n v="27151.0"/>
        <n v="70998.0"/>
        <n v="58788.0"/>
        <n v="48117.0"/>
        <n v="41514.0"/>
        <n v="71111.0"/>
        <n v="652.0"/>
        <n v="30442.0"/>
        <n v="58938.0"/>
        <n v="59051.0"/>
        <n v="7103.0"/>
        <n v="1405.0"/>
        <n v="46318.0"/>
        <n v="8218.0"/>
        <n v="21935.0"/>
        <n v="65616.0"/>
        <n v="71774.0"/>
        <n v="30989.0"/>
        <n v="43547.0"/>
        <n v="79218.0"/>
        <n v="77416.0"/>
        <n v="21570.0"/>
        <n v="49892.0"/>
        <n v="42533.0"/>
        <n v="68178.0"/>
        <n v="31228.0"/>
        <n v="10896.0"/>
        <n v="20051.0"/>
        <n v="33035.0"/>
        <n v="20117.0"/>
        <n v="39705.0"/>
        <n v="78985.0"/>
        <n v="5709.0"/>
        <n v="10022.0"/>
        <n v="33826.0"/>
        <n v="20471.0"/>
        <n v="17415.0"/>
        <n v="18155.0"/>
        <n v="40421.0"/>
        <n v="13940.0"/>
        <n v="79289.0"/>
        <n v="75202.0"/>
        <n v="72461.0"/>
        <n v="68224.0"/>
        <n v="31309.0"/>
        <n v="50396.0"/>
        <n v="24851.0"/>
        <n v="37820.0"/>
        <n v="50885.0"/>
        <n v="15650.0"/>
        <n v="33047.0"/>
        <n v="42813.0"/>
        <n v="62124.0"/>
        <n v="40391.0"/>
        <n v="41986.0"/>
        <n v="20289.0"/>
        <n v="65941.0"/>
        <n v="4339.0"/>
        <n v="72074.0"/>
        <n v="62071.0"/>
        <n v="5090.0"/>
        <n v="63427.0"/>
        <n v="62923.0"/>
        <n v="68754.0"/>
        <n v="56729.0"/>
        <n v="9213.0"/>
        <n v="12413.0"/>
        <n v="9102.0"/>
        <n v="18699.0"/>
      </sharedItems>
    </cacheField>
    <cacheField name="Status" numFmtId="0">
      <sharedItems>
        <s v="Returned"/>
        <s v="Pending"/>
        <s v="Completed"/>
      </sharedItems>
    </cacheField>
    <cacheField name="Month" numFmtId="49">
      <sharedItems>
        <s v="Nov"/>
        <s v="Jul"/>
        <s v="Apr"/>
        <s v="Mar"/>
        <s v="Oct"/>
        <s v="Jun"/>
        <s v="Feb"/>
        <s v="Jan"/>
        <s v="Sep"/>
        <s v="Dec"/>
        <s v="Aug"/>
        <s v="May"/>
      </sharedItems>
    </cacheField>
    <cacheField name="Revenue After Returns" numFmtId="0">
      <sharedItems containsSemiMixedTypes="0" containsString="0" containsNumber="1" containsInteger="1">
        <n v="0.0"/>
        <n v="223182.0"/>
        <n v="1126586.0"/>
        <n v="63918.0"/>
        <n v="95679.0"/>
        <n v="1254720.0"/>
        <n v="338922.0"/>
        <n v="291044.0"/>
        <n v="165744.0"/>
        <n v="281060.0"/>
        <n v="326621.0"/>
        <n v="82060.0"/>
        <n v="895527.0"/>
        <n v="110865.0"/>
        <n v="1235392.0"/>
        <n v="146336.0"/>
        <n v="333655.0"/>
        <n v="292604.0"/>
        <n v="180400.0"/>
        <n v="634528.0"/>
        <n v="487998.0"/>
        <n v="780794.0"/>
        <n v="125730.0"/>
        <n v="26982.0"/>
        <n v="716562.0"/>
        <n v="508759.0"/>
        <n v="417546.0"/>
        <n v="79702.0"/>
        <n v="68084.0"/>
        <n v="222700.0"/>
        <n v="83376.0"/>
        <n v="1494520.0"/>
        <n v="1900.0"/>
        <n v="1196940.0"/>
        <n v="246490.0"/>
        <n v="126577.0"/>
        <n v="684162.0"/>
        <n v="373302.0"/>
        <n v="405520.0"/>
        <n v="347211.0"/>
        <n v="850575.0"/>
        <n v="7830.0"/>
        <n v="259752.0"/>
        <n v="58531.0"/>
        <n v="541884.0"/>
        <n v="169119.0"/>
        <n v="35964.0"/>
        <n v="885088.0"/>
        <n v="671922.0"/>
        <n v="201012.0"/>
        <n v="393488.0"/>
        <n v="363255.0"/>
        <n v="369300.0"/>
        <n v="30355.0"/>
        <n v="20412.0"/>
        <n v="1029041.0"/>
        <n v="627540.0"/>
        <n v="423745.0"/>
        <n v="795756.0"/>
        <n v="375730.0"/>
        <n v="265397.0"/>
        <n v="352080.0"/>
        <n v="147616.0"/>
        <n v="129580.0"/>
        <n v="36442.0"/>
        <n v="302975.0"/>
        <n v="226899.0"/>
        <n v="370678.0"/>
        <n v="18889.0"/>
        <n v="346766.0"/>
        <n v="461125.0"/>
        <n v="70869.0"/>
        <n v="178410.0"/>
        <n v="67671.0"/>
        <n v="1235285.0"/>
        <n v="825578.0"/>
        <n v="140418.0"/>
        <n v="830676.0"/>
        <n v="300534.0"/>
        <n v="193491.0"/>
        <n v="62608.0"/>
        <n v="536560.0"/>
        <n v="539990.0"/>
        <n v="1018992.0"/>
        <n v="1599320.0"/>
        <n v="563960.0"/>
        <n v="88154.0"/>
        <n v="1280559.0"/>
        <n v="872835.0"/>
        <n v="418194.0"/>
        <n v="182403.0"/>
        <n v="514904.0"/>
        <n v="41586.0"/>
        <n v="66350.0"/>
        <n v="300006.0"/>
        <n v="75460.0"/>
        <n v="782320.0"/>
        <n v="785179.0"/>
        <n v="96296.0"/>
        <n v="7997.0"/>
        <n v="159525.0"/>
        <n v="543913.0"/>
        <n v="719472.0"/>
        <n v="141464.0"/>
        <n v="75022.0"/>
        <n v="304704.0"/>
        <n v="346313.0"/>
        <n v="374690.0"/>
        <n v="33659.0"/>
        <n v="675164.0"/>
        <n v="541980.0"/>
        <n v="154533.0"/>
        <n v="6768.0"/>
        <n v="857520.0"/>
        <n v="475392.0"/>
        <n v="567242.0"/>
        <n v="988822.0"/>
        <n v="1062233.0"/>
        <n v="348804.0"/>
        <n v="155060.0"/>
        <n v="369190.0"/>
        <n v="361880.0"/>
        <n v="955500.0"/>
        <n v="146766.0"/>
        <n v="1140300.0"/>
        <n v="128022.0"/>
        <n v="471246.0"/>
        <n v="32126.0"/>
        <n v="1005228.0"/>
        <n v="1250800.0"/>
        <n v="637224.0"/>
        <n v="51248.0"/>
        <n v="77958.0"/>
        <n v="671562.0"/>
        <n v="558522.0"/>
        <n v="1051956.0"/>
        <n v="873697.0"/>
        <n v="241065.0"/>
        <n v="84664.0"/>
        <n v="558355.0"/>
        <n v="931905.0"/>
        <n v="666610.0"/>
        <n v="233091.0"/>
        <n v="687228.0"/>
        <n v="34380.0"/>
        <n v="690042.0"/>
        <n v="50852.0"/>
        <n v="411234.0"/>
        <n v="36100.0"/>
        <n v="889395.0"/>
        <n v="801652.0"/>
        <n v="245472.0"/>
        <n v="37719.0"/>
        <n v="289602.0"/>
        <n v="469005.0"/>
        <n v="590148.0"/>
        <n v="254997.0"/>
        <n v="638988.0"/>
        <n v="244224.0"/>
        <n v="435917.0"/>
        <n v="62270.0"/>
        <n v="218400.0"/>
        <n v="88837.0"/>
        <n v="102402.0"/>
        <n v="543020.0"/>
        <n v="866106.0"/>
        <n v="41514.0"/>
        <n v="1066665.0"/>
        <n v="11084.0"/>
        <n v="182652.0"/>
        <n v="106545.0"/>
        <n v="92636.0"/>
        <n v="139706.0"/>
        <n v="65805.0"/>
        <n v="1220158.0"/>
        <n v="950616.0"/>
        <n v="774160.0"/>
        <n v="648596.0"/>
        <n v="255198.0"/>
        <n v="530876.0"/>
        <n v="98064.0"/>
        <n v="220561.0"/>
        <n v="132140.0"/>
        <n v="190418.0"/>
        <n v="270608.0"/>
        <n v="139320.0"/>
        <n v="36310.0"/>
        <n v="121263.0"/>
        <n v="55760.0"/>
        <n v="1052828.0"/>
        <n v="341120.0"/>
        <n v="344399.0"/>
        <n v="1007920.0"/>
        <n v="273361.0"/>
        <n v="113460.0"/>
        <n v="50885.0"/>
        <n v="31300.0"/>
        <n v="396564.0"/>
        <n v="42813.0"/>
        <n v="993984.0"/>
        <n v="282737.0"/>
        <n v="41986.0"/>
        <n v="405780.0"/>
        <n v="593469.0"/>
        <n v="60746.0"/>
        <n v="993136.0"/>
        <n v="50900.0"/>
        <n v="507416.0"/>
        <n v="1306326.0"/>
        <n v="794206.0"/>
        <n v="173782.0"/>
        <n v="18204.0"/>
        <n v="149592.0"/>
      </sharedItems>
    </cacheField>
    <cacheField name="Product" numFmtId="0">
      <sharedItems>
        <s v="Logitech Mouse"/>
        <s v="Boat Earbuds"/>
        <s v="iPhone 15"/>
        <s v="HP Laptop"/>
        <s v="Dell Laptop"/>
        <s v="Samsung Galaxy"/>
        <s v="OnePlus TV"/>
      </sharedItems>
    </cacheField>
    <cacheField name="Total Sales" numFmtId="0">
      <sharedItems containsSemiMixedTypes="0" containsString="0" containsNumber="1" containsInteger="1">
        <n v="114072.0"/>
        <n v="223182.0"/>
        <n v="1126586.0"/>
        <n v="63918.0"/>
        <n v="75554.0"/>
        <n v="95679.0"/>
        <n v="1254720.0"/>
        <n v="338922.0"/>
        <n v="24258.0"/>
        <n v="75672.0"/>
        <n v="291044.0"/>
        <n v="996632.0"/>
        <n v="165744.0"/>
        <n v="281060.0"/>
        <n v="228605.0"/>
        <n v="326621.0"/>
        <n v="82060.0"/>
        <n v="895527.0"/>
        <n v="195528.0"/>
        <n v="110865.0"/>
        <n v="1235392.0"/>
        <n v="393570.0"/>
        <n v="146336.0"/>
        <n v="343152.0"/>
        <n v="333655.0"/>
        <n v="292604.0"/>
        <n v="180400.0"/>
        <n v="634528.0"/>
        <n v="487998.0"/>
        <n v="780794.0"/>
        <n v="125730.0"/>
        <n v="26982.0"/>
        <n v="716562.0"/>
        <n v="508759.0"/>
        <n v="417546.0"/>
        <n v="79702.0"/>
        <n v="311904.0"/>
        <n v="68084.0"/>
        <n v="804015.0"/>
        <n v="773640.0"/>
        <n v="222700.0"/>
        <n v="796368.0"/>
        <n v="83376.0"/>
        <n v="1494520.0"/>
        <n v="1900.0"/>
        <n v="587758.0"/>
        <n v="1196940.0"/>
        <n v="246490.0"/>
        <n v="126577.0"/>
        <n v="684162.0"/>
        <n v="373302.0"/>
        <n v="405520.0"/>
        <n v="347211.0"/>
        <n v="850575.0"/>
        <n v="73203.0"/>
        <n v="7830.0"/>
        <n v="259752.0"/>
        <n v="476775.0"/>
        <n v="27636.0"/>
        <n v="58531.0"/>
        <n v="58764.0"/>
        <n v="569130.0"/>
        <n v="541884.0"/>
        <n v="169119.0"/>
        <n v="35964.0"/>
        <n v="451919.0"/>
        <n v="885088.0"/>
        <n v="671922.0"/>
        <n v="58945.0"/>
        <n v="461280.0"/>
        <n v="122256.0"/>
        <n v="201012.0"/>
        <n v="393488.0"/>
        <n v="363255.0"/>
        <n v="369300.0"/>
        <n v="30355.0"/>
        <n v="372540.0"/>
        <n v="435501.0"/>
        <n v="20412.0"/>
        <n v="1029041.0"/>
        <n v="627540.0"/>
        <n v="789232.0"/>
        <n v="423745.0"/>
        <n v="795756.0"/>
        <n v="375730.0"/>
        <n v="265397.0"/>
        <n v="352080.0"/>
        <n v="147616.0"/>
        <n v="129580.0"/>
        <n v="100980.0"/>
        <n v="36442.0"/>
        <n v="550030.0"/>
        <n v="608972.0"/>
        <n v="302975.0"/>
        <n v="226899.0"/>
        <n v="370678.0"/>
        <n v="18889.0"/>
        <n v="346766.0"/>
        <n v="461125.0"/>
        <n v="70869.0"/>
        <n v="606840.0"/>
        <n v="178410.0"/>
        <n v="316140.0"/>
        <n v="67671.0"/>
        <n v="225984.0"/>
        <n v="1235285.0"/>
        <n v="1177471.0"/>
        <n v="825578.0"/>
        <n v="140418.0"/>
        <n v="75326.0"/>
        <n v="830676.0"/>
        <n v="300534.0"/>
        <n v="692368.0"/>
        <n v="193491.0"/>
        <n v="62608.0"/>
        <n v="536560.0"/>
        <n v="377970.0"/>
        <n v="539990.0"/>
        <n v="1018992.0"/>
        <n v="1599320.0"/>
        <n v="804219.0"/>
        <n v="563960.0"/>
        <n v="88154.0"/>
        <n v="1280559.0"/>
        <n v="872835.0"/>
        <n v="173440.0"/>
        <n v="418194.0"/>
        <n v="182403.0"/>
        <n v="514904.0"/>
        <n v="41586.0"/>
        <n v="121012.0"/>
        <n v="145090.0"/>
        <n v="66350.0"/>
        <n v="300006.0"/>
        <n v="1381547.0"/>
        <n v="75460.0"/>
        <n v="56762.0"/>
        <n v="782320.0"/>
        <n v="812459.0"/>
        <n v="982549.0"/>
        <n v="359905.0"/>
        <n v="785179.0"/>
        <n v="96296.0"/>
        <n v="7997.0"/>
        <n v="123024.0"/>
        <n v="159525.0"/>
        <n v="543913.0"/>
        <n v="719472.0"/>
        <n v="141464.0"/>
        <n v="75022.0"/>
        <n v="378720.0"/>
        <n v="304704.0"/>
        <n v="346313.0"/>
        <n v="374690.0"/>
        <n v="33659.0"/>
        <n v="505056.0"/>
        <n v="537309.0"/>
        <n v="675164.0"/>
        <n v="556754.0"/>
        <n v="1044565.0"/>
        <n v="35824.0"/>
        <n v="541980.0"/>
        <n v="154533.0"/>
        <n v="738660.0"/>
        <n v="6768.0"/>
        <n v="857520.0"/>
        <n v="475392.0"/>
        <n v="567242.0"/>
        <n v="182337.0"/>
        <n v="988822.0"/>
        <n v="1062233.0"/>
        <n v="348804.0"/>
        <n v="155060.0"/>
        <n v="369190.0"/>
        <n v="851940.0"/>
        <n v="70206.0"/>
        <n v="142200.0"/>
        <n v="361880.0"/>
        <n v="955500.0"/>
        <n v="146766.0"/>
        <n v="1140300.0"/>
        <n v="128022.0"/>
        <n v="471246.0"/>
        <n v="32126.0"/>
        <n v="556520.0"/>
        <n v="412972.0"/>
        <n v="1005228.0"/>
        <n v="1250800.0"/>
        <n v="460341.0"/>
        <n v="637224.0"/>
        <n v="51248.0"/>
        <n v="93750.0"/>
        <n v="77958.0"/>
        <n v="671562.0"/>
        <n v="558522.0"/>
        <n v="518655.0"/>
        <n v="1051956.0"/>
        <n v="873697.0"/>
        <n v="241065.0"/>
        <n v="84664.0"/>
        <n v="1060632.0"/>
        <n v="558355.0"/>
        <n v="931905.0"/>
        <n v="666610.0"/>
        <n v="233091.0"/>
        <n v="687228.0"/>
        <n v="34380.0"/>
        <n v="690042.0"/>
        <n v="50852.0"/>
        <n v="411234.0"/>
        <n v="36100.0"/>
        <n v="889395.0"/>
        <n v="801652.0"/>
        <n v="245472.0"/>
        <n v="37719.0"/>
        <n v="289602.0"/>
        <n v="469005.0"/>
        <n v="590148.0"/>
        <n v="254997.0"/>
        <n v="638988.0"/>
        <n v="244224.0"/>
        <n v="435917.0"/>
        <n v="251965.0"/>
        <n v="312702.0"/>
        <n v="80112.0"/>
        <n v="1000950.0"/>
        <n v="15589.0"/>
        <n v="62270.0"/>
        <n v="218400.0"/>
        <n v="88837.0"/>
        <n v="102402.0"/>
        <n v="543020.0"/>
        <n v="922974.0"/>
        <n v="823032.0"/>
        <n v="866106.0"/>
        <n v="41514.0"/>
        <n v="1066665.0"/>
        <n v="11084.0"/>
        <n v="182652.0"/>
        <n v="648318.0"/>
        <n v="236204.0"/>
        <n v="106545.0"/>
        <n v="19670.0"/>
        <n v="92636.0"/>
        <n v="139706.0"/>
        <n v="65805.0"/>
        <n v="459312.0"/>
        <n v="1220158.0"/>
        <n v="185934.0"/>
        <n v="217735.0"/>
        <n v="950616.0"/>
        <n v="774160.0"/>
        <n v="409830.0"/>
        <n v="648596.0"/>
        <n v="255198.0"/>
        <n v="68178.0"/>
        <n v="530876.0"/>
        <n v="98064.0"/>
        <n v="220561.0"/>
        <n v="132140.0"/>
        <n v="80468.0"/>
        <n v="674985.0"/>
        <n v="1421730.0"/>
        <n v="45672.0"/>
        <n v="190418.0"/>
        <n v="270608.0"/>
        <n v="327536.0"/>
        <n v="139320.0"/>
        <n v="36310.0"/>
        <n v="121263.0"/>
        <n v="55760.0"/>
        <n v="158578.0"/>
        <n v="1052828.0"/>
        <n v="941993.0"/>
        <n v="341120.0"/>
        <n v="344399.0"/>
        <n v="1007920.0"/>
        <n v="273361.0"/>
        <n v="113460.0"/>
        <n v="50885.0"/>
        <n v="31300.0"/>
        <n v="396564.0"/>
        <n v="42813.0"/>
        <n v="993984.0"/>
        <n v="282737.0"/>
        <n v="41986.0"/>
        <n v="405780.0"/>
        <n v="593469.0"/>
        <n v="60746.0"/>
        <n v="1297332.0"/>
        <n v="993136.0"/>
        <n v="50900.0"/>
        <n v="507416.0"/>
        <n v="943845.0"/>
        <n v="1306326.0"/>
        <n v="794206.0"/>
        <n v="101343.0"/>
        <n v="173782.0"/>
        <n v="18204.0"/>
        <n v="149592.0"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E1:J301" sheet="Sales"/>
  </cacheSource>
  <cacheFields>
    <cacheField name="Category" numFmtId="0">
      <sharedItems>
        <s v="Accessories"/>
        <s v="Mobiles"/>
        <s v="Laptops"/>
      </sharedItems>
    </cacheField>
    <cacheField name="Unit Sold" numFmtId="0">
      <sharedItems containsSemiMixedTypes="0" containsString="0" containsNumber="1" containsInteger="1">
        <n v="14.0"/>
        <n v="3.0"/>
        <n v="19.0"/>
        <n v="1.0"/>
        <n v="16.0"/>
        <n v="6.0"/>
        <n v="2.0"/>
        <n v="18.0"/>
        <n v="13.0"/>
        <n v="5.0"/>
        <n v="17.0"/>
        <n v="8.0"/>
        <n v="4.0"/>
        <n v="10.0"/>
        <n v="9.0"/>
        <n v="11.0"/>
        <n v="15.0"/>
        <n v="12.0"/>
        <n v="20.0"/>
        <n v="7.0"/>
      </sharedItems>
    </cacheField>
    <cacheField name="Unit Price" numFmtId="0">
      <sharedItems containsSemiMixedTypes="0" containsString="0" containsNumber="1" containsInteger="1">
        <n v="8148.0"/>
        <n v="74394.0"/>
        <n v="59294.0"/>
        <n v="63918.0"/>
        <n v="75554.0"/>
        <n v="31893.0"/>
        <n v="78420.0"/>
        <n v="56487.0"/>
        <n v="12129.0"/>
        <n v="4204.0"/>
        <n v="22388.0"/>
        <n v="71188.0"/>
        <n v="10359.0"/>
        <n v="21620.0"/>
        <n v="45721.0"/>
        <n v="19213.0"/>
        <n v="16412.0"/>
        <n v="47133.0"/>
        <n v="32588.0"/>
        <n v="22173.0"/>
        <n v="77212.0"/>
        <n v="78714.0"/>
        <n v="73168.0"/>
        <n v="42894.0"/>
        <n v="66731.0"/>
        <n v="73151.0"/>
        <n v="18040.0"/>
        <n v="79316.0"/>
        <n v="27111.0"/>
        <n v="55771.0"/>
        <n v="20955.0"/>
        <n v="2998.0"/>
        <n v="65142.0"/>
        <n v="29927.0"/>
        <n v="46394.0"/>
        <n v="39851.0"/>
        <n v="16416.0"/>
        <n v="34042.0"/>
        <n v="53601.0"/>
        <n v="51576.0"/>
        <n v="55675.0"/>
        <n v="66364.0"/>
        <n v="4632.0"/>
        <n v="74726.0"/>
        <n v="1900.0"/>
        <n v="34574.0"/>
        <n v="59847.0"/>
        <n v="24649.0"/>
        <n v="11507.0"/>
        <n v="76018.0"/>
        <n v="62217.0"/>
        <n v="50690.0"/>
        <n v="38579.0"/>
        <n v="77325.0"/>
        <n v="5631.0"/>
        <n v="783.0"/>
        <n v="32469.0"/>
        <n v="36675.0"/>
        <n v="1974.0"/>
        <n v="58531.0"/>
        <n v="19588.0"/>
        <n v="56913.0"/>
        <n v="38706.0"/>
        <n v="18791.0"/>
        <n v="17982.0"/>
        <n v="34763.0"/>
        <n v="52064.0"/>
        <n v="37329.0"/>
        <n v="58945.0"/>
        <n v="30752.0"/>
        <n v="20376.0"/>
        <n v="16751.0"/>
        <n v="49186.0"/>
        <n v="24217.0"/>
        <n v="30775.0"/>
        <n v="6071.0"/>
        <n v="18627.0"/>
        <n v="48389.0"/>
        <n v="2916.0"/>
        <n v="79157.0"/>
        <n v="62754.0"/>
        <n v="49327.0"/>
        <n v="60535.0"/>
        <n v="66313.0"/>
        <n v="75146.0"/>
        <n v="24127.0"/>
        <n v="70416.0"/>
        <n v="18452.0"/>
        <n v="6820.0"/>
        <n v="10098.0"/>
        <n v="18221.0"/>
        <n v="42310.0"/>
        <n v="46844.0"/>
        <n v="60595.0"/>
        <n v="25211.0"/>
        <n v="52954.0"/>
        <n v="1453.0"/>
        <n v="49538.0"/>
        <n v="65875.0"/>
        <n v="23623.0"/>
        <n v="30342.0"/>
        <n v="17841.0"/>
        <n v="31614.0"/>
        <n v="67671.0"/>
        <n v="20544.0"/>
        <n v="65015.0"/>
        <n v="69263.0"/>
        <n v="63506.0"/>
        <n v="15602.0"/>
        <n v="37663.0"/>
        <n v="75516.0"/>
        <n v="23118.0"/>
        <n v="43273.0"/>
        <n v="21499.0"/>
        <n v="31304.0"/>
        <n v="26828.0"/>
        <n v="62995.0"/>
        <n v="49090.0"/>
        <n v="78384.0"/>
        <n v="79966.0"/>
        <n v="61863.0"/>
        <n v="28198.0"/>
        <n v="8014.0"/>
        <n v="75327.0"/>
        <n v="58189.0"/>
        <n v="10840.0"/>
        <n v="23233.0"/>
        <n v="20267.0"/>
        <n v="39608.0"/>
        <n v="13862.0"/>
        <n v="60506.0"/>
        <n v="14509.0"/>
        <n v="33175.0"/>
        <n v="16667.0"/>
        <n v="72713.0"/>
        <n v="37730.0"/>
        <n v="56762.0"/>
        <n v="71120.0"/>
        <n v="42761.0"/>
        <n v="57797.0"/>
        <n v="51415.0"/>
        <n v="46187.0"/>
        <n v="48148.0"/>
        <n v="727.0"/>
        <n v="61512.0"/>
        <n v="10635.0"/>
        <n v="28627.0"/>
        <n v="44967.0"/>
        <n v="70732.0"/>
        <n v="75022.0"/>
        <n v="21040.0"/>
        <n v="50784.0"/>
        <n v="31483.0"/>
        <n v="74938.0"/>
        <n v="33659.0"/>
        <n v="63132.0"/>
        <n v="59701.0"/>
        <n v="48226.0"/>
        <n v="50614.0"/>
        <n v="61445.0"/>
        <n v="35824.0"/>
        <n v="27099.0"/>
        <n v="51511.0"/>
        <n v="36933.0"/>
        <n v="1692.0"/>
        <n v="57168.0"/>
        <n v="39616.0"/>
        <n v="43634.0"/>
        <n v="60779.0"/>
        <n v="58166.0"/>
        <n v="55907.0"/>
        <n v="19378.0"/>
        <n v="77530.0"/>
        <n v="73838.0"/>
        <n v="56796.0"/>
        <n v="70206.0"/>
        <n v="47400.0"/>
        <n v="18094.0"/>
        <n v="68250.0"/>
        <n v="73383.0"/>
        <n v="76020.0"/>
        <n v="64011.0"/>
        <n v="78541.0"/>
        <n v="16063.0"/>
        <n v="69565.0"/>
        <n v="29498.0"/>
        <n v="71802.0"/>
        <n v="62540.0"/>
        <n v="51149.0"/>
        <n v="79653.0"/>
        <n v="6406.0"/>
        <n v="15625.0"/>
        <n v="4331.0"/>
        <n v="74618.0"/>
        <n v="31029.0"/>
        <n v="34577.0"/>
        <n v="58442.0"/>
        <n v="79427.0"/>
        <n v="48213.0"/>
        <n v="4456.0"/>
        <n v="58924.0"/>
        <n v="79765.0"/>
        <n v="71685.0"/>
        <n v="66661.0"/>
        <n v="77697.0"/>
        <n v="57269.0"/>
        <n v="17190.0"/>
        <n v="36318.0"/>
        <n v="25426.0"/>
        <n v="68539.0"/>
        <n v="1805.0"/>
        <n v="59293.0"/>
        <n v="47156.0"/>
        <n v="20456.0"/>
        <n v="4191.0"/>
        <n v="48267.0"/>
        <n v="31267.0"/>
        <n v="49179.0"/>
        <n v="28333.0"/>
        <n v="45642.0"/>
        <n v="27136.0"/>
        <n v="22943.0"/>
        <n v="35995.0"/>
        <n v="16458.0"/>
        <n v="20028.0"/>
        <n v="66730.0"/>
        <n v="2227.0"/>
        <n v="4790.0"/>
        <n v="54600.0"/>
        <n v="12691.0"/>
        <n v="17067.0"/>
        <n v="27151.0"/>
        <n v="70998.0"/>
        <n v="58788.0"/>
        <n v="48117.0"/>
        <n v="41514.0"/>
        <n v="71111.0"/>
        <n v="652.0"/>
        <n v="30442.0"/>
        <n v="58938.0"/>
        <n v="59051.0"/>
        <n v="7103.0"/>
        <n v="1405.0"/>
        <n v="46318.0"/>
        <n v="8218.0"/>
        <n v="21935.0"/>
        <n v="65616.0"/>
        <n v="71774.0"/>
        <n v="30989.0"/>
        <n v="43547.0"/>
        <n v="79218.0"/>
        <n v="77416.0"/>
        <n v="21570.0"/>
        <n v="49892.0"/>
        <n v="42533.0"/>
        <n v="68178.0"/>
        <n v="31228.0"/>
        <n v="10896.0"/>
        <n v="20051.0"/>
        <n v="33035.0"/>
        <n v="20117.0"/>
        <n v="39705.0"/>
        <n v="78985.0"/>
        <n v="5709.0"/>
        <n v="10022.0"/>
        <n v="33826.0"/>
        <n v="20471.0"/>
        <n v="17415.0"/>
        <n v="18155.0"/>
        <n v="40421.0"/>
        <n v="13940.0"/>
        <n v="79289.0"/>
        <n v="75202.0"/>
        <n v="72461.0"/>
        <n v="68224.0"/>
        <n v="31309.0"/>
        <n v="50396.0"/>
        <n v="24851.0"/>
        <n v="37820.0"/>
        <n v="50885.0"/>
        <n v="15650.0"/>
        <n v="33047.0"/>
        <n v="42813.0"/>
        <n v="62124.0"/>
        <n v="40391.0"/>
        <n v="41986.0"/>
        <n v="20289.0"/>
        <n v="65941.0"/>
        <n v="4339.0"/>
        <n v="72074.0"/>
        <n v="62071.0"/>
        <n v="5090.0"/>
        <n v="63427.0"/>
        <n v="62923.0"/>
        <n v="68754.0"/>
        <n v="56729.0"/>
        <n v="9213.0"/>
        <n v="12413.0"/>
        <n v="9102.0"/>
        <n v="18699.0"/>
      </sharedItems>
    </cacheField>
    <cacheField name="Status" numFmtId="0">
      <sharedItems>
        <s v="Returned"/>
        <s v="Pending"/>
        <s v="Completed"/>
      </sharedItems>
    </cacheField>
    <cacheField name="Month" numFmtId="49">
      <sharedItems>
        <s v="Nov"/>
        <s v="Jul"/>
        <s v="Apr"/>
        <s v="Mar"/>
        <s v="Oct"/>
        <s v="Jun"/>
        <s v="Feb"/>
        <s v="Jan"/>
        <s v="Sep"/>
        <s v="Dec"/>
        <s v="Aug"/>
        <s v="May"/>
      </sharedItems>
    </cacheField>
    <cacheField name="Revenue After Returns" numFmtId="0">
      <sharedItems containsSemiMixedTypes="0" containsString="0" containsNumber="1" containsInteger="1">
        <n v="0.0"/>
        <n v="223182.0"/>
        <n v="1126586.0"/>
        <n v="63918.0"/>
        <n v="95679.0"/>
        <n v="1254720.0"/>
        <n v="338922.0"/>
        <n v="291044.0"/>
        <n v="165744.0"/>
        <n v="281060.0"/>
        <n v="326621.0"/>
        <n v="82060.0"/>
        <n v="895527.0"/>
        <n v="110865.0"/>
        <n v="1235392.0"/>
        <n v="146336.0"/>
        <n v="333655.0"/>
        <n v="292604.0"/>
        <n v="180400.0"/>
        <n v="634528.0"/>
        <n v="487998.0"/>
        <n v="780794.0"/>
        <n v="125730.0"/>
        <n v="26982.0"/>
        <n v="716562.0"/>
        <n v="508759.0"/>
        <n v="417546.0"/>
        <n v="79702.0"/>
        <n v="68084.0"/>
        <n v="222700.0"/>
        <n v="83376.0"/>
        <n v="1494520.0"/>
        <n v="1900.0"/>
        <n v="1196940.0"/>
        <n v="246490.0"/>
        <n v="126577.0"/>
        <n v="684162.0"/>
        <n v="373302.0"/>
        <n v="405520.0"/>
        <n v="347211.0"/>
        <n v="850575.0"/>
        <n v="7830.0"/>
        <n v="259752.0"/>
        <n v="58531.0"/>
        <n v="541884.0"/>
        <n v="169119.0"/>
        <n v="35964.0"/>
        <n v="885088.0"/>
        <n v="671922.0"/>
        <n v="201012.0"/>
        <n v="393488.0"/>
        <n v="363255.0"/>
        <n v="369300.0"/>
        <n v="30355.0"/>
        <n v="20412.0"/>
        <n v="1029041.0"/>
        <n v="627540.0"/>
        <n v="423745.0"/>
        <n v="795756.0"/>
        <n v="375730.0"/>
        <n v="265397.0"/>
        <n v="352080.0"/>
        <n v="147616.0"/>
        <n v="129580.0"/>
        <n v="36442.0"/>
        <n v="302975.0"/>
        <n v="226899.0"/>
        <n v="370678.0"/>
        <n v="18889.0"/>
        <n v="346766.0"/>
        <n v="461125.0"/>
        <n v="70869.0"/>
        <n v="178410.0"/>
        <n v="67671.0"/>
        <n v="1235285.0"/>
        <n v="825578.0"/>
        <n v="140418.0"/>
        <n v="830676.0"/>
        <n v="300534.0"/>
        <n v="193491.0"/>
        <n v="62608.0"/>
        <n v="536560.0"/>
        <n v="539990.0"/>
        <n v="1018992.0"/>
        <n v="1599320.0"/>
        <n v="563960.0"/>
        <n v="88154.0"/>
        <n v="1280559.0"/>
        <n v="872835.0"/>
        <n v="418194.0"/>
        <n v="182403.0"/>
        <n v="514904.0"/>
        <n v="41586.0"/>
        <n v="66350.0"/>
        <n v="300006.0"/>
        <n v="75460.0"/>
        <n v="782320.0"/>
        <n v="785179.0"/>
        <n v="96296.0"/>
        <n v="7997.0"/>
        <n v="159525.0"/>
        <n v="543913.0"/>
        <n v="719472.0"/>
        <n v="141464.0"/>
        <n v="75022.0"/>
        <n v="304704.0"/>
        <n v="346313.0"/>
        <n v="374690.0"/>
        <n v="33659.0"/>
        <n v="675164.0"/>
        <n v="541980.0"/>
        <n v="154533.0"/>
        <n v="6768.0"/>
        <n v="857520.0"/>
        <n v="475392.0"/>
        <n v="567242.0"/>
        <n v="988822.0"/>
        <n v="1062233.0"/>
        <n v="348804.0"/>
        <n v="155060.0"/>
        <n v="369190.0"/>
        <n v="361880.0"/>
        <n v="955500.0"/>
        <n v="146766.0"/>
        <n v="1140300.0"/>
        <n v="128022.0"/>
        <n v="471246.0"/>
        <n v="32126.0"/>
        <n v="1005228.0"/>
        <n v="1250800.0"/>
        <n v="637224.0"/>
        <n v="51248.0"/>
        <n v="77958.0"/>
        <n v="671562.0"/>
        <n v="558522.0"/>
        <n v="1051956.0"/>
        <n v="873697.0"/>
        <n v="241065.0"/>
        <n v="84664.0"/>
        <n v="558355.0"/>
        <n v="931905.0"/>
        <n v="666610.0"/>
        <n v="233091.0"/>
        <n v="687228.0"/>
        <n v="34380.0"/>
        <n v="690042.0"/>
        <n v="50852.0"/>
        <n v="411234.0"/>
        <n v="36100.0"/>
        <n v="889395.0"/>
        <n v="801652.0"/>
        <n v="245472.0"/>
        <n v="37719.0"/>
        <n v="289602.0"/>
        <n v="469005.0"/>
        <n v="590148.0"/>
        <n v="254997.0"/>
        <n v="638988.0"/>
        <n v="244224.0"/>
        <n v="435917.0"/>
        <n v="62270.0"/>
        <n v="218400.0"/>
        <n v="88837.0"/>
        <n v="102402.0"/>
        <n v="543020.0"/>
        <n v="866106.0"/>
        <n v="41514.0"/>
        <n v="1066665.0"/>
        <n v="11084.0"/>
        <n v="182652.0"/>
        <n v="106545.0"/>
        <n v="92636.0"/>
        <n v="139706.0"/>
        <n v="65805.0"/>
        <n v="1220158.0"/>
        <n v="950616.0"/>
        <n v="774160.0"/>
        <n v="648596.0"/>
        <n v="255198.0"/>
        <n v="530876.0"/>
        <n v="98064.0"/>
        <n v="220561.0"/>
        <n v="132140.0"/>
        <n v="190418.0"/>
        <n v="270608.0"/>
        <n v="139320.0"/>
        <n v="36310.0"/>
        <n v="121263.0"/>
        <n v="55760.0"/>
        <n v="1052828.0"/>
        <n v="341120.0"/>
        <n v="344399.0"/>
        <n v="1007920.0"/>
        <n v="273361.0"/>
        <n v="113460.0"/>
        <n v="50885.0"/>
        <n v="31300.0"/>
        <n v="396564.0"/>
        <n v="42813.0"/>
        <n v="993984.0"/>
        <n v="282737.0"/>
        <n v="41986.0"/>
        <n v="405780.0"/>
        <n v="593469.0"/>
        <n v="60746.0"/>
        <n v="993136.0"/>
        <n v="50900.0"/>
        <n v="507416.0"/>
        <n v="1306326.0"/>
        <n v="794206.0"/>
        <n v="173782.0"/>
        <n v="18204.0"/>
        <n v="149592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Region_Month" cacheId="0" dataCaption="" rowGrandTotals="0" compact="0" compactData="0">
  <location ref="A1:G14" firstHeaderRow="0" firstDataRow="2" firstDataCol="1"/>
  <pivotFields>
    <pivotField name="Order no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t="default"/>
      </items>
    </pivotField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t="default"/>
      </items>
    </pivotField>
    <pivotField name="Region" axis="axisCol" compact="0" outline="0" multipleItemSelectionAllowed="1" showAll="0" sortType="ascending">
      <items>
        <item x="4"/>
        <item x="0"/>
        <item x="3"/>
        <item x="2"/>
        <item x="1"/>
        <item t="default"/>
      </items>
    </pivotField>
    <pivotField name="Salespers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t="default"/>
      </items>
    </pivotField>
    <pivotField name="Unit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Unit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t="default"/>
      </items>
    </pivotField>
    <pivotField name="Month" axis="axisRow" compact="0" numFmtId="49" outline="0" multipleItemSelectionAllowed="1" showAll="0" sortType="ascending">
      <items>
        <item h="1" x="12"/>
        <item x="2"/>
        <item x="10"/>
        <item x="9"/>
        <item x="6"/>
        <item x="7"/>
        <item x="1"/>
        <item x="5"/>
        <item x="3"/>
        <item x="11"/>
        <item x="0"/>
        <item x="4"/>
        <item x="8"/>
        <item t="default"/>
      </items>
    </pivotField>
    <pivotField name="Revenue After Return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Total Sa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t="default"/>
      </items>
    </pivotField>
    <pivotField name="Month Number" axis="axisRow" compact="0" outline="0" multipleItemSelectionAllowed="1" showAll="0" sortType="ascending" defaultSubtotal="0">
      <items>
        <item x="12"/>
        <item x="7"/>
        <item x="6"/>
        <item x="3"/>
        <item x="2"/>
        <item x="11"/>
        <item x="5"/>
        <item x="1"/>
        <item x="10"/>
        <item x="8"/>
        <item x="4"/>
        <item x="0"/>
        <item x="9"/>
      </items>
    </pivotField>
  </pivotFields>
  <rowFields>
    <field x="12"/>
    <field x="8"/>
  </rowFields>
  <colFields>
    <field x="2"/>
  </colFields>
  <dataFields>
    <dataField name="SUM of Revenue After Returns" fld="9" baseField="0"/>
  </dataFields>
</pivotTableDefinition>
</file>

<file path=xl/pivotTables/pivotTable2.xml><?xml version="1.0" encoding="utf-8"?>
<pivotTableDefinition xmlns="http://schemas.openxmlformats.org/spreadsheetml/2006/main" name="Salesperson" cacheId="1" dataCaption="" compact="0" compactData="0">
  <location ref="A1:B303" firstHeaderRow="0" firstDataRow="1" firstDataCol="0"/>
  <pivotFields>
    <pivotField name="Salesperson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Category" compact="0" outline="0" multipleItemSelectionAllowed="1" showAll="0">
      <items>
        <item x="0"/>
        <item x="1"/>
        <item x="2"/>
        <item x="3"/>
        <item t="default"/>
      </items>
    </pivotField>
    <pivotField name="Unit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Unit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t="default"/>
      </items>
    </pivotField>
    <pivotField name="Month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Revenue After Return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t="default"/>
      </items>
    </pivotField>
  </pivotFields>
  <rowFields>
    <field x="0"/>
  </rowFields>
  <dataFields>
    <dataField name="SUM of Revenue After Returns" fld="6" baseField="0"/>
  </dataFields>
</pivotTableDefinition>
</file>

<file path=xl/pivotTables/pivotTable3.xml><?xml version="1.0" encoding="utf-8"?>
<pivotTableDefinition xmlns="http://schemas.openxmlformats.org/spreadsheetml/2006/main" name="Category" cacheId="2" dataCaption="" compact="0" compactData="0">
  <location ref="A1:E23" firstHeaderRow="0" firstDataRow="1" firstDataCol="1"/>
  <pivotFields>
    <pivotField name="Order no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Salespers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name="Category" axis="axisCol" compact="0" outline="0" multipleItemSelectionAllowed="1" showAll="0" sortType="ascending">
      <items>
        <item x="0"/>
        <item x="2"/>
        <item x="1"/>
        <item t="default"/>
      </items>
    </pivotField>
    <pivotField name="Unit Sold" axis="axisRow" compact="0" outline="0" multipleItemSelectionAllowed="1" showAll="0" sortType="ascending">
      <items>
        <item x="3"/>
        <item x="6"/>
        <item x="1"/>
        <item x="12"/>
        <item x="9"/>
        <item x="5"/>
        <item x="19"/>
        <item x="11"/>
        <item x="14"/>
        <item x="13"/>
        <item x="15"/>
        <item x="17"/>
        <item x="8"/>
        <item x="0"/>
        <item x="16"/>
        <item x="4"/>
        <item x="10"/>
        <item x="7"/>
        <item x="2"/>
        <item x="18"/>
        <item t="default"/>
      </items>
    </pivotField>
    <pivotField name="Unit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name="Status" compact="0" outline="0" multipleItemSelectionAllowed="1" showAll="0">
      <items>
        <item x="0"/>
        <item x="1"/>
        <item x="2"/>
        <item t="default"/>
      </items>
    </pivotField>
    <pivotField name="Month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Revenue After Return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otal Sa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</pivotFields>
  <rowFields>
    <field x="5"/>
  </rowFields>
  <colFields>
    <field x="4"/>
  </colFields>
  <dataFields>
    <dataField name="SUM of Revenue After Returns" fld="9" baseField="0"/>
  </dataFields>
</pivotTableDefinition>
</file>

<file path=xl/pivotTables/pivotTable4.xml><?xml version="1.0" encoding="utf-8"?>
<pivotTableDefinition xmlns="http://schemas.openxmlformats.org/spreadsheetml/2006/main" name="Order_Status" cacheId="2" dataCaption="" rowGrandTotals="0" compact="0" compactData="0">
  <location ref="A1:B4" firstHeaderRow="0" firstDataRow="1" firstDataCol="0"/>
  <pivotFields>
    <pivotField name="Order no.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Salespers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Unit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Unit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name="Status" axis="axisRow" compact="0" outline="0" multipleItemSelectionAllowed="1" showAll="0" sortType="ascending">
      <items>
        <item x="2"/>
        <item x="1"/>
        <item x="0"/>
        <item t="default"/>
      </items>
    </pivotField>
    <pivotField name="Month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Revenue After Retur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otal Sa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</pivotFields>
  <rowFields>
    <field x="7"/>
  </rowFields>
  <dataFields>
    <dataField name="COUNTA of Order no." fld="0" subtotal="count" baseField="0"/>
  </dataFields>
</pivotTableDefinition>
</file>

<file path=xl/pivotTables/pivotTable5.xml><?xml version="1.0" encoding="utf-8"?>
<pivotTableDefinition xmlns="http://schemas.openxmlformats.org/spreadsheetml/2006/main" name="Total_category_Revenue" cacheId="3" dataCaption="" compact="0" compactData="0">
  <location ref="A1:E15" firstHeaderRow="0" firstDataRow="1" firstDataCol="1"/>
  <pivotFields>
    <pivotField name="Category" axis="axisCol" compact="0" outline="0" multipleItemSelectionAllowed="1" showAll="0" sortType="ascending">
      <items>
        <item x="0"/>
        <item x="2"/>
        <item x="1"/>
        <item t="default"/>
      </items>
    </pivotField>
    <pivotField name="Unit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Unit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name="Status" compact="0" outline="0" multipleItemSelectionAllowed="1" showAll="0">
      <items>
        <item x="0"/>
        <item x="1"/>
        <item x="2"/>
        <item t="default"/>
      </items>
    </pivotField>
    <pivotField name="Month" axis="axisRow" compact="0" numFmtId="49" outline="0" multipleItemSelectionAllowed="1" showAll="0" sortType="ascending">
      <items>
        <item x="2"/>
        <item x="10"/>
        <item x="9"/>
        <item x="6"/>
        <item x="7"/>
        <item x="1"/>
        <item x="5"/>
        <item x="3"/>
        <item x="11"/>
        <item x="0"/>
        <item x="4"/>
        <item x="8"/>
        <item t="default"/>
      </items>
    </pivotField>
    <pivotField name="Revenue After Return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t="default"/>
      </items>
    </pivotField>
  </pivotFields>
  <rowFields>
    <field x="4"/>
  </rowFields>
  <colFields>
    <field x="0"/>
  </colFields>
  <dataFields>
    <dataField name="SUM of Revenue After Returns" fld="5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3" dT="2026-06-19T17:03:28.00" personId="{273c6a0e-a2c8-4705-a6af-91439153e9ec}" id="{5844c245-5d6d-42b7-aeb4-ce143c8e2e15}" done="1">
    <x18tc:text xml:space="preserve">total sales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8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0"/>
    <col customWidth="1" min="5" max="5" width="14.38"/>
    <col customWidth="1" min="6" max="6" width="11.13"/>
    <col customWidth="1" min="7" max="7" width="11.88"/>
    <col customWidth="1" min="8" max="8" width="10.13"/>
    <col customWidth="1" min="10" max="10" width="19.0"/>
    <col customWidth="1" min="11" max="11" width="14.13"/>
    <col customWidth="1" min="12" max="12" width="12.38"/>
  </cols>
  <sheetData>
    <row r="1">
      <c r="A1" s="1" t="s">
        <v>0</v>
      </c>
      <c r="B1" s="3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4" t="s">
        <v>9</v>
      </c>
      <c r="J1" s="1" t="s">
        <v>10</v>
      </c>
      <c r="K1" s="1" t="s">
        <v>11</v>
      </c>
      <c r="L1" s="1" t="s">
        <v>12</v>
      </c>
      <c r="M1" s="5" t="s">
        <v>13</v>
      </c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" t="s">
        <v>14</v>
      </c>
      <c r="B2" s="7" t="s">
        <v>15</v>
      </c>
      <c r="C2" s="5" t="s">
        <v>16</v>
      </c>
      <c r="D2" s="5" t="s">
        <v>17</v>
      </c>
      <c r="E2" s="5" t="str">
        <f t="shared" ref="E2:E301" si="1">IF(OR(K2="iPhone 15",K2="Samsung Galaxy"),"Mobiles",IF(OR(K2="HP Laptop",K2="Dell Laptop"),"Laptops","Accessories"))</f>
        <v>Accessories</v>
      </c>
      <c r="F2" s="5">
        <v>14.0</v>
      </c>
      <c r="G2" s="5">
        <v>8148.0</v>
      </c>
      <c r="H2" s="5" t="s">
        <v>20</v>
      </c>
      <c r="I2" s="12" t="str">
        <f t="shared" ref="I2:I301" si="2">TEXT(DATE(MID(B2,7,4),LEFT(B2,2),MID(B2,4,2)),"MMM")</f>
        <v>Nov</v>
      </c>
      <c r="J2" s="6">
        <f t="shared" ref="J2:J301" si="3">if(H2="Returned",0,L2)</f>
        <v>0</v>
      </c>
      <c r="K2" s="5" t="s">
        <v>23</v>
      </c>
      <c r="L2" s="5">
        <v>114072.0</v>
      </c>
      <c r="M2" s="6">
        <f t="shared" ref="M2:M301" si="4">MONTH(DATE(MID(B2,7,4),LEFT(B2,2),MID(B2,4,2)))</f>
        <v>11</v>
      </c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" t="s">
        <v>25</v>
      </c>
      <c r="B3" s="7" t="s">
        <v>26</v>
      </c>
      <c r="C3" s="5" t="s">
        <v>22</v>
      </c>
      <c r="D3" s="5" t="s">
        <v>27</v>
      </c>
      <c r="E3" s="5" t="str">
        <f t="shared" si="1"/>
        <v>Accessories</v>
      </c>
      <c r="F3" s="5">
        <v>3.0</v>
      </c>
      <c r="G3" s="5">
        <v>74394.0</v>
      </c>
      <c r="H3" s="5" t="s">
        <v>29</v>
      </c>
      <c r="I3" s="12" t="str">
        <f t="shared" si="2"/>
        <v>Jul</v>
      </c>
      <c r="J3" s="6">
        <f t="shared" si="3"/>
        <v>223182</v>
      </c>
      <c r="K3" s="5" t="s">
        <v>30</v>
      </c>
      <c r="L3" s="5">
        <v>223182.0</v>
      </c>
      <c r="M3" s="6">
        <f t="shared" si="4"/>
        <v>7</v>
      </c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" t="s">
        <v>31</v>
      </c>
      <c r="B4" s="7" t="s">
        <v>32</v>
      </c>
      <c r="C4" s="5" t="s">
        <v>24</v>
      </c>
      <c r="D4" s="5" t="s">
        <v>33</v>
      </c>
      <c r="E4" s="5" t="str">
        <f t="shared" si="1"/>
        <v>Mobiles</v>
      </c>
      <c r="F4" s="5">
        <v>19.0</v>
      </c>
      <c r="G4" s="5">
        <v>59294.0</v>
      </c>
      <c r="H4" s="5" t="s">
        <v>34</v>
      </c>
      <c r="I4" s="12" t="str">
        <f t="shared" si="2"/>
        <v>Apr</v>
      </c>
      <c r="J4" s="6">
        <f t="shared" si="3"/>
        <v>1126586</v>
      </c>
      <c r="K4" s="5" t="s">
        <v>37</v>
      </c>
      <c r="L4" s="5">
        <v>1126586.0</v>
      </c>
      <c r="M4" s="6">
        <f t="shared" si="4"/>
        <v>4</v>
      </c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" t="s">
        <v>38</v>
      </c>
      <c r="B5" s="7">
        <v>45507.0</v>
      </c>
      <c r="C5" s="5" t="s">
        <v>22</v>
      </c>
      <c r="D5" s="5" t="s">
        <v>39</v>
      </c>
      <c r="E5" s="5" t="str">
        <f t="shared" si="1"/>
        <v>Laptops</v>
      </c>
      <c r="F5" s="5">
        <v>1.0</v>
      </c>
      <c r="G5" s="5">
        <v>63918.0</v>
      </c>
      <c r="H5" s="5" t="s">
        <v>29</v>
      </c>
      <c r="I5" s="12" t="str">
        <f t="shared" si="2"/>
        <v>Mar</v>
      </c>
      <c r="J5" s="6">
        <f t="shared" si="3"/>
        <v>63918</v>
      </c>
      <c r="K5" s="5" t="s">
        <v>43</v>
      </c>
      <c r="L5" s="5">
        <v>63918.0</v>
      </c>
      <c r="M5" s="6">
        <f t="shared" si="4"/>
        <v>3</v>
      </c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" t="s">
        <v>47</v>
      </c>
      <c r="B6" s="7" t="s">
        <v>48</v>
      </c>
      <c r="C6" s="5" t="s">
        <v>16</v>
      </c>
      <c r="D6" s="5" t="s">
        <v>49</v>
      </c>
      <c r="E6" s="5" t="str">
        <f t="shared" si="1"/>
        <v>Accessories</v>
      </c>
      <c r="F6" s="5">
        <v>1.0</v>
      </c>
      <c r="G6" s="5">
        <v>75554.0</v>
      </c>
      <c r="H6" s="5" t="s">
        <v>20</v>
      </c>
      <c r="I6" s="12" t="str">
        <f t="shared" si="2"/>
        <v>Jul</v>
      </c>
      <c r="J6" s="6">
        <f t="shared" si="3"/>
        <v>0</v>
      </c>
      <c r="K6" s="5" t="s">
        <v>30</v>
      </c>
      <c r="L6" s="5">
        <v>75554.0</v>
      </c>
      <c r="M6" s="6">
        <f t="shared" si="4"/>
        <v>7</v>
      </c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" t="s">
        <v>51</v>
      </c>
      <c r="B7" s="7">
        <v>45629.0</v>
      </c>
      <c r="C7" s="5" t="s">
        <v>24</v>
      </c>
      <c r="D7" s="5" t="s">
        <v>52</v>
      </c>
      <c r="E7" s="5" t="str">
        <f t="shared" si="1"/>
        <v>Laptops</v>
      </c>
      <c r="F7" s="5">
        <v>3.0</v>
      </c>
      <c r="G7" s="5">
        <v>31893.0</v>
      </c>
      <c r="H7" s="5" t="s">
        <v>29</v>
      </c>
      <c r="I7" s="12" t="str">
        <f t="shared" si="2"/>
        <v>Mar</v>
      </c>
      <c r="J7" s="6">
        <f t="shared" si="3"/>
        <v>95679</v>
      </c>
      <c r="K7" s="5" t="s">
        <v>55</v>
      </c>
      <c r="L7" s="5">
        <v>95679.0</v>
      </c>
      <c r="M7" s="6">
        <f t="shared" si="4"/>
        <v>3</v>
      </c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1" t="s">
        <v>57</v>
      </c>
      <c r="B8" s="7" t="s">
        <v>58</v>
      </c>
      <c r="C8" s="5" t="s">
        <v>22</v>
      </c>
      <c r="D8" s="5" t="s">
        <v>59</v>
      </c>
      <c r="E8" s="5" t="str">
        <f t="shared" si="1"/>
        <v>Laptops</v>
      </c>
      <c r="F8" s="5">
        <v>16.0</v>
      </c>
      <c r="G8" s="5">
        <v>78420.0</v>
      </c>
      <c r="H8" s="5" t="s">
        <v>34</v>
      </c>
      <c r="I8" s="12" t="str">
        <f t="shared" si="2"/>
        <v>Oct</v>
      </c>
      <c r="J8" s="6">
        <f t="shared" si="3"/>
        <v>1254720</v>
      </c>
      <c r="K8" s="5" t="s">
        <v>55</v>
      </c>
      <c r="L8" s="5">
        <v>1254720.0</v>
      </c>
      <c r="M8" s="6">
        <f t="shared" si="4"/>
        <v>10</v>
      </c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1" t="s">
        <v>65</v>
      </c>
      <c r="B9" s="7" t="s">
        <v>66</v>
      </c>
      <c r="C9" s="5" t="s">
        <v>16</v>
      </c>
      <c r="D9" s="5" t="s">
        <v>67</v>
      </c>
      <c r="E9" s="5" t="str">
        <f t="shared" si="1"/>
        <v>Laptops</v>
      </c>
      <c r="F9" s="5">
        <v>6.0</v>
      </c>
      <c r="G9" s="5">
        <v>56487.0</v>
      </c>
      <c r="H9" s="5" t="s">
        <v>34</v>
      </c>
      <c r="I9" s="12" t="str">
        <f t="shared" si="2"/>
        <v>Jun</v>
      </c>
      <c r="J9" s="6">
        <f t="shared" si="3"/>
        <v>338922</v>
      </c>
      <c r="K9" s="5" t="s">
        <v>55</v>
      </c>
      <c r="L9" s="5">
        <v>338922.0</v>
      </c>
      <c r="M9" s="6">
        <f t="shared" si="4"/>
        <v>6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1" t="s">
        <v>71</v>
      </c>
      <c r="B10" s="7" t="s">
        <v>72</v>
      </c>
      <c r="C10" s="5" t="s">
        <v>16</v>
      </c>
      <c r="D10" s="5" t="s">
        <v>74</v>
      </c>
      <c r="E10" s="5" t="str">
        <f t="shared" si="1"/>
        <v>Mobiles</v>
      </c>
      <c r="F10" s="5">
        <v>2.0</v>
      </c>
      <c r="G10" s="5">
        <v>12129.0</v>
      </c>
      <c r="H10" s="5" t="s">
        <v>20</v>
      </c>
      <c r="I10" s="12" t="str">
        <f t="shared" si="2"/>
        <v>Feb</v>
      </c>
      <c r="J10" s="6">
        <f t="shared" si="3"/>
        <v>0</v>
      </c>
      <c r="K10" s="5" t="s">
        <v>75</v>
      </c>
      <c r="L10" s="5">
        <v>24258.0</v>
      </c>
      <c r="M10" s="6">
        <f t="shared" si="4"/>
        <v>2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1" t="s">
        <v>79</v>
      </c>
      <c r="B11" s="7">
        <v>45447.0</v>
      </c>
      <c r="C11" s="5" t="s">
        <v>16</v>
      </c>
      <c r="D11" s="5" t="s">
        <v>80</v>
      </c>
      <c r="E11" s="5" t="str">
        <f t="shared" si="1"/>
        <v>Accessories</v>
      </c>
      <c r="F11" s="5">
        <v>18.0</v>
      </c>
      <c r="G11" s="5">
        <v>4204.0</v>
      </c>
      <c r="H11" s="5" t="s">
        <v>20</v>
      </c>
      <c r="I11" s="12" t="str">
        <f t="shared" si="2"/>
        <v>Apr</v>
      </c>
      <c r="J11" s="6">
        <f t="shared" si="3"/>
        <v>0</v>
      </c>
      <c r="K11" s="5" t="s">
        <v>85</v>
      </c>
      <c r="L11" s="5">
        <v>75672.0</v>
      </c>
      <c r="M11" s="6">
        <f t="shared" si="4"/>
        <v>4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1" t="s">
        <v>87</v>
      </c>
      <c r="B12" s="7">
        <v>45352.0</v>
      </c>
      <c r="C12" s="5" t="s">
        <v>19</v>
      </c>
      <c r="D12" s="5" t="s">
        <v>88</v>
      </c>
      <c r="E12" s="5" t="str">
        <f t="shared" si="1"/>
        <v>Accessories</v>
      </c>
      <c r="F12" s="5">
        <v>13.0</v>
      </c>
      <c r="G12" s="5">
        <v>22388.0</v>
      </c>
      <c r="H12" s="5" t="s">
        <v>29</v>
      </c>
      <c r="I12" s="12" t="str">
        <f t="shared" si="2"/>
        <v>Jan</v>
      </c>
      <c r="J12" s="6">
        <f t="shared" si="3"/>
        <v>291044</v>
      </c>
      <c r="K12" s="5" t="s">
        <v>23</v>
      </c>
      <c r="L12" s="5">
        <v>291044.0</v>
      </c>
      <c r="M12" s="6">
        <f t="shared" si="4"/>
        <v>1</v>
      </c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1" t="s">
        <v>91</v>
      </c>
      <c r="B13" s="7" t="s">
        <v>93</v>
      </c>
      <c r="C13" s="5" t="s">
        <v>19</v>
      </c>
      <c r="D13" s="5" t="s">
        <v>94</v>
      </c>
      <c r="E13" s="5" t="str">
        <f t="shared" si="1"/>
        <v>Mobiles</v>
      </c>
      <c r="F13" s="5">
        <v>14.0</v>
      </c>
      <c r="G13" s="5">
        <v>71188.0</v>
      </c>
      <c r="H13" s="5" t="s">
        <v>20</v>
      </c>
      <c r="I13" s="12" t="str">
        <f t="shared" si="2"/>
        <v>Sep</v>
      </c>
      <c r="J13" s="6">
        <f t="shared" si="3"/>
        <v>0</v>
      </c>
      <c r="K13" s="5" t="s">
        <v>37</v>
      </c>
      <c r="L13" s="5">
        <v>996632.0</v>
      </c>
      <c r="M13" s="6">
        <f t="shared" si="4"/>
        <v>9</v>
      </c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1" t="s">
        <v>96</v>
      </c>
      <c r="B14" s="7">
        <v>45297.0</v>
      </c>
      <c r="C14" s="5" t="s">
        <v>24</v>
      </c>
      <c r="D14" s="5" t="s">
        <v>97</v>
      </c>
      <c r="E14" s="5" t="str">
        <f t="shared" si="1"/>
        <v>Laptops</v>
      </c>
      <c r="F14" s="5">
        <v>16.0</v>
      </c>
      <c r="G14" s="5">
        <v>10359.0</v>
      </c>
      <c r="H14" s="5" t="s">
        <v>34</v>
      </c>
      <c r="I14" s="12" t="str">
        <f t="shared" si="2"/>
        <v>Jun</v>
      </c>
      <c r="J14" s="6">
        <f t="shared" si="3"/>
        <v>165744</v>
      </c>
      <c r="K14" s="5" t="s">
        <v>43</v>
      </c>
      <c r="L14" s="5">
        <v>165744.0</v>
      </c>
      <c r="M14" s="6">
        <f t="shared" si="4"/>
        <v>6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1" t="s">
        <v>100</v>
      </c>
      <c r="B15" s="7" t="s">
        <v>101</v>
      </c>
      <c r="C15" s="5" t="s">
        <v>16</v>
      </c>
      <c r="D15" s="5" t="s">
        <v>102</v>
      </c>
      <c r="E15" s="5" t="str">
        <f t="shared" si="1"/>
        <v>Mobiles</v>
      </c>
      <c r="F15" s="5">
        <v>13.0</v>
      </c>
      <c r="G15" s="5">
        <v>21620.0</v>
      </c>
      <c r="H15" s="5" t="s">
        <v>29</v>
      </c>
      <c r="I15" s="12" t="str">
        <f t="shared" si="2"/>
        <v>Dec</v>
      </c>
      <c r="J15" s="6">
        <f t="shared" si="3"/>
        <v>281060</v>
      </c>
      <c r="K15" s="5" t="s">
        <v>75</v>
      </c>
      <c r="L15" s="5">
        <v>281060.0</v>
      </c>
      <c r="M15" s="6">
        <f t="shared" si="4"/>
        <v>12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1" t="s">
        <v>106</v>
      </c>
      <c r="B16" s="7" t="s">
        <v>107</v>
      </c>
      <c r="C16" s="5" t="s">
        <v>19</v>
      </c>
      <c r="D16" s="5" t="s">
        <v>108</v>
      </c>
      <c r="E16" s="5" t="str">
        <f t="shared" si="1"/>
        <v>Accessories</v>
      </c>
      <c r="F16" s="5">
        <v>5.0</v>
      </c>
      <c r="G16" s="5">
        <v>45721.0</v>
      </c>
      <c r="H16" s="5" t="s">
        <v>20</v>
      </c>
      <c r="I16" s="12" t="str">
        <f t="shared" si="2"/>
        <v>Nov</v>
      </c>
      <c r="J16" s="6">
        <f t="shared" si="3"/>
        <v>0</v>
      </c>
      <c r="K16" s="5" t="s">
        <v>85</v>
      </c>
      <c r="L16" s="5">
        <v>228605.0</v>
      </c>
      <c r="M16" s="6">
        <f t="shared" si="4"/>
        <v>11</v>
      </c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1" t="s">
        <v>111</v>
      </c>
      <c r="B17" s="7">
        <v>45602.0</v>
      </c>
      <c r="C17" s="5" t="s">
        <v>19</v>
      </c>
      <c r="D17" s="5" t="s">
        <v>112</v>
      </c>
      <c r="E17" s="5" t="str">
        <f t="shared" si="1"/>
        <v>Accessories</v>
      </c>
      <c r="F17" s="5">
        <v>17.0</v>
      </c>
      <c r="G17" s="5">
        <v>19213.0</v>
      </c>
      <c r="H17" s="5" t="s">
        <v>29</v>
      </c>
      <c r="I17" s="12" t="str">
        <f t="shared" si="2"/>
        <v>Jun</v>
      </c>
      <c r="J17" s="6">
        <f t="shared" si="3"/>
        <v>326621</v>
      </c>
      <c r="K17" s="5" t="s">
        <v>85</v>
      </c>
      <c r="L17" s="5">
        <v>326621.0</v>
      </c>
      <c r="M17" s="6">
        <f t="shared" si="4"/>
        <v>6</v>
      </c>
      <c r="N17" s="5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1" t="s">
        <v>114</v>
      </c>
      <c r="B18" s="7" t="s">
        <v>115</v>
      </c>
      <c r="C18" s="5" t="s">
        <v>16</v>
      </c>
      <c r="D18" s="5" t="s">
        <v>116</v>
      </c>
      <c r="E18" s="5" t="str">
        <f t="shared" si="1"/>
        <v>Accessories</v>
      </c>
      <c r="F18" s="5">
        <v>5.0</v>
      </c>
      <c r="G18" s="5">
        <v>16412.0</v>
      </c>
      <c r="H18" s="5" t="s">
        <v>29</v>
      </c>
      <c r="I18" s="12" t="str">
        <f t="shared" si="2"/>
        <v>Dec</v>
      </c>
      <c r="J18" s="6">
        <f t="shared" si="3"/>
        <v>82060</v>
      </c>
      <c r="K18" s="5" t="s">
        <v>23</v>
      </c>
      <c r="L18" s="5">
        <v>82060.0</v>
      </c>
      <c r="M18" s="6">
        <f t="shared" si="4"/>
        <v>12</v>
      </c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1" t="s">
        <v>118</v>
      </c>
      <c r="B19" s="7" t="s">
        <v>119</v>
      </c>
      <c r="C19" s="5" t="s">
        <v>24</v>
      </c>
      <c r="D19" s="5" t="s">
        <v>120</v>
      </c>
      <c r="E19" s="5" t="str">
        <f t="shared" si="1"/>
        <v>Laptops</v>
      </c>
      <c r="F19" s="5">
        <v>19.0</v>
      </c>
      <c r="G19" s="5">
        <v>47133.0</v>
      </c>
      <c r="H19" s="5" t="s">
        <v>34</v>
      </c>
      <c r="I19" s="12" t="str">
        <f t="shared" si="2"/>
        <v>Jan</v>
      </c>
      <c r="J19" s="6">
        <f t="shared" si="3"/>
        <v>895527</v>
      </c>
      <c r="K19" s="5" t="s">
        <v>43</v>
      </c>
      <c r="L19" s="5">
        <v>895527.0</v>
      </c>
      <c r="M19" s="6">
        <f t="shared" si="4"/>
        <v>1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1" t="s">
        <v>122</v>
      </c>
      <c r="B20" s="7" t="s">
        <v>123</v>
      </c>
      <c r="C20" s="5" t="s">
        <v>19</v>
      </c>
      <c r="D20" s="5" t="s">
        <v>124</v>
      </c>
      <c r="E20" s="5" t="str">
        <f t="shared" si="1"/>
        <v>Accessories</v>
      </c>
      <c r="F20" s="5">
        <v>6.0</v>
      </c>
      <c r="G20" s="5">
        <v>32588.0</v>
      </c>
      <c r="H20" s="5" t="s">
        <v>20</v>
      </c>
      <c r="I20" s="12" t="str">
        <f t="shared" si="2"/>
        <v>Dec</v>
      </c>
      <c r="J20" s="6">
        <f t="shared" si="3"/>
        <v>0</v>
      </c>
      <c r="K20" s="5" t="s">
        <v>23</v>
      </c>
      <c r="L20" s="5">
        <v>195528.0</v>
      </c>
      <c r="M20" s="6">
        <f t="shared" si="4"/>
        <v>12</v>
      </c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1" t="s">
        <v>126</v>
      </c>
      <c r="B21" s="7" t="s">
        <v>127</v>
      </c>
      <c r="C21" s="5" t="s">
        <v>24</v>
      </c>
      <c r="D21" s="5" t="s">
        <v>128</v>
      </c>
      <c r="E21" s="5" t="str">
        <f t="shared" si="1"/>
        <v>Accessories</v>
      </c>
      <c r="F21" s="5">
        <v>5.0</v>
      </c>
      <c r="G21" s="5">
        <v>22173.0</v>
      </c>
      <c r="H21" s="5" t="s">
        <v>29</v>
      </c>
      <c r="I21" s="12" t="str">
        <f t="shared" si="2"/>
        <v>Apr</v>
      </c>
      <c r="J21" s="6">
        <f t="shared" si="3"/>
        <v>110865</v>
      </c>
      <c r="K21" s="5" t="s">
        <v>23</v>
      </c>
      <c r="L21" s="5">
        <v>110865.0</v>
      </c>
      <c r="M21" s="6">
        <f t="shared" si="4"/>
        <v>4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1" t="s">
        <v>130</v>
      </c>
      <c r="B22" s="7" t="s">
        <v>131</v>
      </c>
      <c r="C22" s="5" t="s">
        <v>16</v>
      </c>
      <c r="D22" s="5" t="s">
        <v>69</v>
      </c>
      <c r="E22" s="5" t="str">
        <f t="shared" si="1"/>
        <v>Laptops</v>
      </c>
      <c r="F22" s="5">
        <v>16.0</v>
      </c>
      <c r="G22" s="5">
        <v>77212.0</v>
      </c>
      <c r="H22" s="5" t="s">
        <v>34</v>
      </c>
      <c r="I22" s="12" t="str">
        <f t="shared" si="2"/>
        <v>Oct</v>
      </c>
      <c r="J22" s="6">
        <f t="shared" si="3"/>
        <v>1235392</v>
      </c>
      <c r="K22" s="5" t="s">
        <v>55</v>
      </c>
      <c r="L22" s="5">
        <v>1235392.0</v>
      </c>
      <c r="M22" s="6">
        <f t="shared" si="4"/>
        <v>10</v>
      </c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1" t="s">
        <v>134</v>
      </c>
      <c r="B23" s="7" t="s">
        <v>135</v>
      </c>
      <c r="C23" s="5" t="s">
        <v>19</v>
      </c>
      <c r="D23" s="5" t="s">
        <v>136</v>
      </c>
      <c r="E23" s="5" t="str">
        <f t="shared" si="1"/>
        <v>Laptops</v>
      </c>
      <c r="F23" s="5">
        <v>5.0</v>
      </c>
      <c r="G23" s="5">
        <v>78714.0</v>
      </c>
      <c r="H23" s="5" t="s">
        <v>20</v>
      </c>
      <c r="I23" s="12" t="str">
        <f t="shared" si="2"/>
        <v>Sep</v>
      </c>
      <c r="J23" s="6">
        <f t="shared" si="3"/>
        <v>0</v>
      </c>
      <c r="K23" s="5" t="s">
        <v>55</v>
      </c>
      <c r="L23" s="5">
        <v>393570.0</v>
      </c>
      <c r="M23" s="6">
        <f t="shared" si="4"/>
        <v>9</v>
      </c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1" t="s">
        <v>138</v>
      </c>
      <c r="B24" s="7" t="s">
        <v>139</v>
      </c>
      <c r="C24" s="5" t="s">
        <v>16</v>
      </c>
      <c r="D24" s="5" t="s">
        <v>140</v>
      </c>
      <c r="E24" s="5" t="str">
        <f t="shared" si="1"/>
        <v>Laptops</v>
      </c>
      <c r="F24" s="5">
        <v>2.0</v>
      </c>
      <c r="G24" s="5">
        <v>73168.0</v>
      </c>
      <c r="H24" s="5" t="s">
        <v>29</v>
      </c>
      <c r="I24" s="12" t="str">
        <f t="shared" si="2"/>
        <v>Mar</v>
      </c>
      <c r="J24" s="6">
        <f t="shared" si="3"/>
        <v>146336</v>
      </c>
      <c r="K24" s="5" t="s">
        <v>43</v>
      </c>
      <c r="L24" s="5">
        <v>146336.0</v>
      </c>
      <c r="M24" s="6">
        <f t="shared" si="4"/>
        <v>3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1" t="s">
        <v>142</v>
      </c>
      <c r="B25" s="7">
        <v>45512.0</v>
      </c>
      <c r="C25" s="5" t="s">
        <v>24</v>
      </c>
      <c r="D25" s="5" t="s">
        <v>144</v>
      </c>
      <c r="E25" s="5" t="str">
        <f t="shared" si="1"/>
        <v>Laptops</v>
      </c>
      <c r="F25" s="5">
        <v>8.0</v>
      </c>
      <c r="G25" s="5">
        <v>42894.0</v>
      </c>
      <c r="H25" s="5" t="s">
        <v>20</v>
      </c>
      <c r="I25" s="12" t="str">
        <f t="shared" si="2"/>
        <v>Aug</v>
      </c>
      <c r="J25" s="6">
        <f t="shared" si="3"/>
        <v>0</v>
      </c>
      <c r="K25" s="5" t="s">
        <v>55</v>
      </c>
      <c r="L25" s="5">
        <v>343152.0</v>
      </c>
      <c r="M25" s="6">
        <f t="shared" si="4"/>
        <v>8</v>
      </c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1" t="s">
        <v>145</v>
      </c>
      <c r="B26" s="7">
        <v>45355.0</v>
      </c>
      <c r="C26" s="5" t="s">
        <v>24</v>
      </c>
      <c r="D26" s="5" t="s">
        <v>146</v>
      </c>
      <c r="E26" s="5" t="str">
        <f t="shared" si="1"/>
        <v>Accessories</v>
      </c>
      <c r="F26" s="5">
        <v>5.0</v>
      </c>
      <c r="G26" s="5">
        <v>66731.0</v>
      </c>
      <c r="H26" s="5" t="s">
        <v>34</v>
      </c>
      <c r="I26" s="12" t="str">
        <f t="shared" si="2"/>
        <v>Apr</v>
      </c>
      <c r="J26" s="6">
        <f t="shared" si="3"/>
        <v>333655</v>
      </c>
      <c r="K26" s="5" t="s">
        <v>85</v>
      </c>
      <c r="L26" s="5">
        <v>333655.0</v>
      </c>
      <c r="M26" s="6">
        <f t="shared" si="4"/>
        <v>4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1" t="s">
        <v>148</v>
      </c>
      <c r="B27" s="7" t="s">
        <v>149</v>
      </c>
      <c r="C27" s="5" t="s">
        <v>22</v>
      </c>
      <c r="D27" s="5" t="s">
        <v>150</v>
      </c>
      <c r="E27" s="5" t="str">
        <f t="shared" si="1"/>
        <v>Accessories</v>
      </c>
      <c r="F27" s="5">
        <v>4.0</v>
      </c>
      <c r="G27" s="5">
        <v>73151.0</v>
      </c>
      <c r="H27" s="5" t="s">
        <v>34</v>
      </c>
      <c r="I27" s="12" t="str">
        <f t="shared" si="2"/>
        <v>Mar</v>
      </c>
      <c r="J27" s="6">
        <f t="shared" si="3"/>
        <v>292604</v>
      </c>
      <c r="K27" s="5" t="s">
        <v>85</v>
      </c>
      <c r="L27" s="5">
        <v>292604.0</v>
      </c>
      <c r="M27" s="6">
        <f t="shared" si="4"/>
        <v>3</v>
      </c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1" t="s">
        <v>152</v>
      </c>
      <c r="B28" s="7">
        <v>45298.0</v>
      </c>
      <c r="C28" s="5" t="s">
        <v>24</v>
      </c>
      <c r="D28" s="5" t="s">
        <v>153</v>
      </c>
      <c r="E28" s="5" t="str">
        <f t="shared" si="1"/>
        <v>Accessories</v>
      </c>
      <c r="F28" s="5">
        <v>10.0</v>
      </c>
      <c r="G28" s="5">
        <v>18040.0</v>
      </c>
      <c r="H28" s="5" t="s">
        <v>34</v>
      </c>
      <c r="I28" s="12" t="str">
        <f t="shared" si="2"/>
        <v>Jul</v>
      </c>
      <c r="J28" s="6">
        <f t="shared" si="3"/>
        <v>180400</v>
      </c>
      <c r="K28" s="5" t="s">
        <v>30</v>
      </c>
      <c r="L28" s="5">
        <v>180400.0</v>
      </c>
      <c r="M28" s="6">
        <f t="shared" si="4"/>
        <v>7</v>
      </c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1" t="s">
        <v>155</v>
      </c>
      <c r="B29" s="7">
        <v>45323.0</v>
      </c>
      <c r="C29" s="5" t="s">
        <v>16</v>
      </c>
      <c r="D29" s="5" t="s">
        <v>157</v>
      </c>
      <c r="E29" s="5" t="str">
        <f t="shared" si="1"/>
        <v>Accessories</v>
      </c>
      <c r="F29" s="5">
        <v>8.0</v>
      </c>
      <c r="G29" s="5">
        <v>79316.0</v>
      </c>
      <c r="H29" s="5" t="s">
        <v>34</v>
      </c>
      <c r="I29" s="12" t="str">
        <f t="shared" si="2"/>
        <v>Jan</v>
      </c>
      <c r="J29" s="6">
        <f t="shared" si="3"/>
        <v>634528</v>
      </c>
      <c r="K29" s="5" t="s">
        <v>85</v>
      </c>
      <c r="L29" s="5">
        <v>634528.0</v>
      </c>
      <c r="M29" s="6">
        <f t="shared" si="4"/>
        <v>1</v>
      </c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1" t="s">
        <v>159</v>
      </c>
      <c r="B30" s="7" t="s">
        <v>160</v>
      </c>
      <c r="C30" s="5" t="s">
        <v>19</v>
      </c>
      <c r="D30" s="5" t="s">
        <v>161</v>
      </c>
      <c r="E30" s="5" t="str">
        <f t="shared" si="1"/>
        <v>Mobiles</v>
      </c>
      <c r="F30" s="5">
        <v>18.0</v>
      </c>
      <c r="G30" s="5">
        <v>27111.0</v>
      </c>
      <c r="H30" s="5" t="s">
        <v>29</v>
      </c>
      <c r="I30" s="12" t="str">
        <f t="shared" si="2"/>
        <v>Jan</v>
      </c>
      <c r="J30" s="6">
        <f t="shared" si="3"/>
        <v>487998</v>
      </c>
      <c r="K30" s="5" t="s">
        <v>37</v>
      </c>
      <c r="L30" s="5">
        <v>487998.0</v>
      </c>
      <c r="M30" s="6">
        <f t="shared" si="4"/>
        <v>1</v>
      </c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1" t="s">
        <v>163</v>
      </c>
      <c r="B31" s="7">
        <v>45424.0</v>
      </c>
      <c r="C31" s="5" t="s">
        <v>22</v>
      </c>
      <c r="D31" s="5" t="s">
        <v>164</v>
      </c>
      <c r="E31" s="5" t="str">
        <f t="shared" si="1"/>
        <v>Mobiles</v>
      </c>
      <c r="F31" s="5">
        <v>14.0</v>
      </c>
      <c r="G31" s="5">
        <v>55771.0</v>
      </c>
      <c r="H31" s="5" t="s">
        <v>29</v>
      </c>
      <c r="I31" s="12" t="str">
        <f t="shared" si="2"/>
        <v>Dec</v>
      </c>
      <c r="J31" s="6">
        <f t="shared" si="3"/>
        <v>780794</v>
      </c>
      <c r="K31" s="5" t="s">
        <v>37</v>
      </c>
      <c r="L31" s="5">
        <v>780794.0</v>
      </c>
      <c r="M31" s="6">
        <f t="shared" si="4"/>
        <v>12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1" t="s">
        <v>166</v>
      </c>
      <c r="B32" s="7" t="s">
        <v>167</v>
      </c>
      <c r="C32" s="5" t="s">
        <v>16</v>
      </c>
      <c r="D32" s="5" t="s">
        <v>168</v>
      </c>
      <c r="E32" s="5" t="str">
        <f t="shared" si="1"/>
        <v>Accessories</v>
      </c>
      <c r="F32" s="5">
        <v>6.0</v>
      </c>
      <c r="G32" s="5">
        <v>20955.0</v>
      </c>
      <c r="H32" s="5" t="s">
        <v>34</v>
      </c>
      <c r="I32" s="12" t="str">
        <f t="shared" si="2"/>
        <v>Mar</v>
      </c>
      <c r="J32" s="6">
        <f t="shared" si="3"/>
        <v>125730</v>
      </c>
      <c r="K32" s="5" t="s">
        <v>23</v>
      </c>
      <c r="L32" s="5">
        <v>125730.0</v>
      </c>
      <c r="M32" s="6">
        <f t="shared" si="4"/>
        <v>3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1" t="s">
        <v>170</v>
      </c>
      <c r="B33" s="7" t="s">
        <v>171</v>
      </c>
      <c r="C33" s="5" t="s">
        <v>22</v>
      </c>
      <c r="D33" s="5" t="s">
        <v>172</v>
      </c>
      <c r="E33" s="5" t="str">
        <f t="shared" si="1"/>
        <v>Mobiles</v>
      </c>
      <c r="F33" s="5">
        <v>9.0</v>
      </c>
      <c r="G33" s="5">
        <v>2998.0</v>
      </c>
      <c r="H33" s="5" t="s">
        <v>34</v>
      </c>
      <c r="I33" s="12" t="str">
        <f t="shared" si="2"/>
        <v>Oct</v>
      </c>
      <c r="J33" s="6">
        <f t="shared" si="3"/>
        <v>26982</v>
      </c>
      <c r="K33" s="5" t="s">
        <v>37</v>
      </c>
      <c r="L33" s="5">
        <v>26982.0</v>
      </c>
      <c r="M33" s="6">
        <f t="shared" si="4"/>
        <v>10</v>
      </c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1" t="s">
        <v>174</v>
      </c>
      <c r="B34" s="7">
        <v>45331.0</v>
      </c>
      <c r="C34" s="5" t="s">
        <v>19</v>
      </c>
      <c r="D34" s="5" t="s">
        <v>176</v>
      </c>
      <c r="E34" s="5" t="str">
        <f t="shared" si="1"/>
        <v>Mobiles</v>
      </c>
      <c r="F34" s="5">
        <v>11.0</v>
      </c>
      <c r="G34" s="5">
        <v>65142.0</v>
      </c>
      <c r="H34" s="5" t="s">
        <v>29</v>
      </c>
      <c r="I34" s="12" t="str">
        <f t="shared" si="2"/>
        <v>Sep</v>
      </c>
      <c r="J34" s="6">
        <f t="shared" si="3"/>
        <v>716562</v>
      </c>
      <c r="K34" s="5" t="s">
        <v>75</v>
      </c>
      <c r="L34" s="5">
        <v>716562.0</v>
      </c>
      <c r="M34" s="6">
        <f t="shared" si="4"/>
        <v>9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1" t="s">
        <v>178</v>
      </c>
      <c r="B35" s="7">
        <v>45601.0</v>
      </c>
      <c r="C35" s="5" t="s">
        <v>24</v>
      </c>
      <c r="D35" s="5" t="s">
        <v>179</v>
      </c>
      <c r="E35" s="5" t="str">
        <f t="shared" si="1"/>
        <v>Accessories</v>
      </c>
      <c r="F35" s="5">
        <v>17.0</v>
      </c>
      <c r="G35" s="5">
        <v>29927.0</v>
      </c>
      <c r="H35" s="5" t="s">
        <v>29</v>
      </c>
      <c r="I35" s="12" t="str">
        <f t="shared" si="2"/>
        <v>May</v>
      </c>
      <c r="J35" s="6">
        <f t="shared" si="3"/>
        <v>508759</v>
      </c>
      <c r="K35" s="5" t="s">
        <v>23</v>
      </c>
      <c r="L35" s="5">
        <v>508759.0</v>
      </c>
      <c r="M35" s="6">
        <f t="shared" si="4"/>
        <v>5</v>
      </c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1" t="s">
        <v>181</v>
      </c>
      <c r="B36" s="7" t="s">
        <v>182</v>
      </c>
      <c r="C36" s="5" t="s">
        <v>22</v>
      </c>
      <c r="D36" s="5" t="s">
        <v>183</v>
      </c>
      <c r="E36" s="5" t="str">
        <f t="shared" si="1"/>
        <v>Mobiles</v>
      </c>
      <c r="F36" s="5">
        <v>9.0</v>
      </c>
      <c r="G36" s="5">
        <v>46394.0</v>
      </c>
      <c r="H36" s="5" t="s">
        <v>34</v>
      </c>
      <c r="I36" s="12" t="str">
        <f t="shared" si="2"/>
        <v>Aug</v>
      </c>
      <c r="J36" s="6">
        <f t="shared" si="3"/>
        <v>417546</v>
      </c>
      <c r="K36" s="5" t="s">
        <v>37</v>
      </c>
      <c r="L36" s="5">
        <v>417546.0</v>
      </c>
      <c r="M36" s="6">
        <f t="shared" si="4"/>
        <v>8</v>
      </c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1" t="s">
        <v>186</v>
      </c>
      <c r="B37" s="7">
        <v>45598.0</v>
      </c>
      <c r="C37" s="5" t="s">
        <v>19</v>
      </c>
      <c r="D37" s="5" t="s">
        <v>187</v>
      </c>
      <c r="E37" s="5" t="str">
        <f t="shared" si="1"/>
        <v>Mobiles</v>
      </c>
      <c r="F37" s="5">
        <v>2.0</v>
      </c>
      <c r="G37" s="5">
        <v>39851.0</v>
      </c>
      <c r="H37" s="5" t="s">
        <v>29</v>
      </c>
      <c r="I37" s="12" t="str">
        <f t="shared" si="2"/>
        <v>Feb</v>
      </c>
      <c r="J37" s="6">
        <f t="shared" si="3"/>
        <v>79702</v>
      </c>
      <c r="K37" s="5" t="s">
        <v>37</v>
      </c>
      <c r="L37" s="5">
        <v>79702.0</v>
      </c>
      <c r="M37" s="6">
        <f t="shared" si="4"/>
        <v>2</v>
      </c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1" t="s">
        <v>188</v>
      </c>
      <c r="B38" s="7">
        <v>45602.0</v>
      </c>
      <c r="C38" s="5" t="s">
        <v>22</v>
      </c>
      <c r="D38" s="5" t="s">
        <v>189</v>
      </c>
      <c r="E38" s="5" t="str">
        <f t="shared" si="1"/>
        <v>Mobiles</v>
      </c>
      <c r="F38" s="5">
        <v>19.0</v>
      </c>
      <c r="G38" s="5">
        <v>16416.0</v>
      </c>
      <c r="H38" s="5" t="s">
        <v>20</v>
      </c>
      <c r="I38" s="12" t="str">
        <f t="shared" si="2"/>
        <v>Jun</v>
      </c>
      <c r="J38" s="6">
        <f t="shared" si="3"/>
        <v>0</v>
      </c>
      <c r="K38" s="5" t="s">
        <v>37</v>
      </c>
      <c r="L38" s="5">
        <v>311904.0</v>
      </c>
      <c r="M38" s="6">
        <f t="shared" si="4"/>
        <v>6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1" t="s">
        <v>192</v>
      </c>
      <c r="B39" s="7" t="s">
        <v>193</v>
      </c>
      <c r="C39" s="5" t="s">
        <v>16</v>
      </c>
      <c r="D39" s="5" t="s">
        <v>194</v>
      </c>
      <c r="E39" s="5" t="str">
        <f t="shared" si="1"/>
        <v>Accessories</v>
      </c>
      <c r="F39" s="5">
        <v>2.0</v>
      </c>
      <c r="G39" s="5">
        <v>34042.0</v>
      </c>
      <c r="H39" s="5" t="s">
        <v>29</v>
      </c>
      <c r="I39" s="12" t="str">
        <f t="shared" si="2"/>
        <v>Apr</v>
      </c>
      <c r="J39" s="6">
        <f t="shared" si="3"/>
        <v>68084</v>
      </c>
      <c r="K39" s="5" t="s">
        <v>85</v>
      </c>
      <c r="L39" s="5">
        <v>68084.0</v>
      </c>
      <c r="M39" s="6">
        <f t="shared" si="4"/>
        <v>4</v>
      </c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1" t="s">
        <v>195</v>
      </c>
      <c r="B40" s="7" t="s">
        <v>196</v>
      </c>
      <c r="C40" s="5" t="s">
        <v>22</v>
      </c>
      <c r="D40" s="5" t="s">
        <v>197</v>
      </c>
      <c r="E40" s="5" t="str">
        <f t="shared" si="1"/>
        <v>Mobiles</v>
      </c>
      <c r="F40" s="5">
        <v>15.0</v>
      </c>
      <c r="G40" s="5">
        <v>53601.0</v>
      </c>
      <c r="H40" s="5" t="s">
        <v>20</v>
      </c>
      <c r="I40" s="12" t="str">
        <f t="shared" si="2"/>
        <v>Nov</v>
      </c>
      <c r="J40" s="6">
        <f t="shared" si="3"/>
        <v>0</v>
      </c>
      <c r="K40" s="5" t="s">
        <v>37</v>
      </c>
      <c r="L40" s="5">
        <v>804015.0</v>
      </c>
      <c r="M40" s="6">
        <f t="shared" si="4"/>
        <v>11</v>
      </c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1" t="s">
        <v>200</v>
      </c>
      <c r="B41" s="7" t="s">
        <v>201</v>
      </c>
      <c r="C41" s="5" t="s">
        <v>16</v>
      </c>
      <c r="D41" s="5" t="s">
        <v>202</v>
      </c>
      <c r="E41" s="5" t="str">
        <f t="shared" si="1"/>
        <v>Mobiles</v>
      </c>
      <c r="F41" s="5">
        <v>15.0</v>
      </c>
      <c r="G41" s="5">
        <v>51576.0</v>
      </c>
      <c r="H41" s="5" t="s">
        <v>20</v>
      </c>
      <c r="I41" s="12" t="str">
        <f t="shared" si="2"/>
        <v>Aug</v>
      </c>
      <c r="J41" s="6">
        <f t="shared" si="3"/>
        <v>0</v>
      </c>
      <c r="K41" s="5" t="s">
        <v>75</v>
      </c>
      <c r="L41" s="5">
        <v>773640.0</v>
      </c>
      <c r="M41" s="6">
        <f t="shared" si="4"/>
        <v>8</v>
      </c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1" t="s">
        <v>204</v>
      </c>
      <c r="B42" s="7">
        <v>45510.0</v>
      </c>
      <c r="C42" s="5" t="s">
        <v>22</v>
      </c>
      <c r="D42" s="5" t="s">
        <v>205</v>
      </c>
      <c r="E42" s="5" t="str">
        <f t="shared" si="1"/>
        <v>Laptops</v>
      </c>
      <c r="F42" s="5">
        <v>4.0</v>
      </c>
      <c r="G42" s="5">
        <v>55675.0</v>
      </c>
      <c r="H42" s="5" t="s">
        <v>29</v>
      </c>
      <c r="I42" s="12" t="str">
        <f t="shared" si="2"/>
        <v>Jun</v>
      </c>
      <c r="J42" s="6">
        <f t="shared" si="3"/>
        <v>222700</v>
      </c>
      <c r="K42" s="5" t="s">
        <v>43</v>
      </c>
      <c r="L42" s="5">
        <v>222700.0</v>
      </c>
      <c r="M42" s="6">
        <f t="shared" si="4"/>
        <v>6</v>
      </c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1" t="s">
        <v>207</v>
      </c>
      <c r="B43" s="7">
        <v>45331.0</v>
      </c>
      <c r="C43" s="5" t="s">
        <v>24</v>
      </c>
      <c r="D43" s="5" t="s">
        <v>208</v>
      </c>
      <c r="E43" s="5" t="str">
        <f t="shared" si="1"/>
        <v>Mobiles</v>
      </c>
      <c r="F43" s="5">
        <v>12.0</v>
      </c>
      <c r="G43" s="5">
        <v>66364.0</v>
      </c>
      <c r="H43" s="5" t="s">
        <v>20</v>
      </c>
      <c r="I43" s="12" t="str">
        <f t="shared" si="2"/>
        <v>Sep</v>
      </c>
      <c r="J43" s="6">
        <f t="shared" si="3"/>
        <v>0</v>
      </c>
      <c r="K43" s="5" t="s">
        <v>37</v>
      </c>
      <c r="L43" s="5">
        <v>796368.0</v>
      </c>
      <c r="M43" s="6">
        <f t="shared" si="4"/>
        <v>9</v>
      </c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1" t="s">
        <v>210</v>
      </c>
      <c r="B44" s="7" t="s">
        <v>211</v>
      </c>
      <c r="C44" s="5" t="s">
        <v>16</v>
      </c>
      <c r="D44" s="5" t="s">
        <v>213</v>
      </c>
      <c r="E44" s="5" t="str">
        <f t="shared" si="1"/>
        <v>Mobiles</v>
      </c>
      <c r="F44" s="5">
        <v>18.0</v>
      </c>
      <c r="G44" s="5">
        <v>4632.0</v>
      </c>
      <c r="H44" s="5" t="s">
        <v>29</v>
      </c>
      <c r="I44" s="12" t="str">
        <f t="shared" si="2"/>
        <v>Jan</v>
      </c>
      <c r="J44" s="6">
        <f t="shared" si="3"/>
        <v>83376</v>
      </c>
      <c r="K44" s="5" t="s">
        <v>75</v>
      </c>
      <c r="L44" s="5">
        <v>83376.0</v>
      </c>
      <c r="M44" s="6">
        <f t="shared" si="4"/>
        <v>1</v>
      </c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1" t="s">
        <v>215</v>
      </c>
      <c r="B45" s="7" t="s">
        <v>216</v>
      </c>
      <c r="C45" s="5" t="s">
        <v>16</v>
      </c>
      <c r="D45" s="5" t="s">
        <v>45</v>
      </c>
      <c r="E45" s="5" t="str">
        <f t="shared" si="1"/>
        <v>Accessories</v>
      </c>
      <c r="F45" s="5">
        <v>20.0</v>
      </c>
      <c r="G45" s="5">
        <v>74726.0</v>
      </c>
      <c r="H45" s="5" t="s">
        <v>29</v>
      </c>
      <c r="I45" s="12" t="str">
        <f t="shared" si="2"/>
        <v>Aug</v>
      </c>
      <c r="J45" s="6">
        <f t="shared" si="3"/>
        <v>1494520</v>
      </c>
      <c r="K45" s="5" t="s">
        <v>85</v>
      </c>
      <c r="L45" s="5">
        <v>1494520.0</v>
      </c>
      <c r="M45" s="6">
        <f t="shared" si="4"/>
        <v>8</v>
      </c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1" t="s">
        <v>218</v>
      </c>
      <c r="B46" s="7" t="s">
        <v>219</v>
      </c>
      <c r="C46" s="5" t="s">
        <v>24</v>
      </c>
      <c r="D46" s="5" t="s">
        <v>220</v>
      </c>
      <c r="E46" s="5" t="str">
        <f t="shared" si="1"/>
        <v>Mobiles</v>
      </c>
      <c r="F46" s="5">
        <v>1.0</v>
      </c>
      <c r="G46" s="5">
        <v>1900.0</v>
      </c>
      <c r="H46" s="5" t="s">
        <v>29</v>
      </c>
      <c r="I46" s="12" t="str">
        <f t="shared" si="2"/>
        <v>Oct</v>
      </c>
      <c r="J46" s="6">
        <f t="shared" si="3"/>
        <v>1900</v>
      </c>
      <c r="K46" s="5" t="s">
        <v>37</v>
      </c>
      <c r="L46" s="5">
        <v>1900.0</v>
      </c>
      <c r="M46" s="6">
        <f t="shared" si="4"/>
        <v>10</v>
      </c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1" t="s">
        <v>222</v>
      </c>
      <c r="B47" s="7">
        <v>45330.0</v>
      </c>
      <c r="C47" s="5" t="s">
        <v>16</v>
      </c>
      <c r="D47" s="5" t="s">
        <v>223</v>
      </c>
      <c r="E47" s="5" t="str">
        <f t="shared" si="1"/>
        <v>Accessories</v>
      </c>
      <c r="F47" s="5">
        <v>17.0</v>
      </c>
      <c r="G47" s="5">
        <v>34574.0</v>
      </c>
      <c r="H47" s="5" t="s">
        <v>20</v>
      </c>
      <c r="I47" s="12" t="str">
        <f t="shared" si="2"/>
        <v>Aug</v>
      </c>
      <c r="J47" s="6">
        <f t="shared" si="3"/>
        <v>0</v>
      </c>
      <c r="K47" s="5" t="s">
        <v>23</v>
      </c>
      <c r="L47" s="5">
        <v>587758.0</v>
      </c>
      <c r="M47" s="6">
        <f t="shared" si="4"/>
        <v>8</v>
      </c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1" t="s">
        <v>225</v>
      </c>
      <c r="B48" s="7" t="s">
        <v>226</v>
      </c>
      <c r="C48" s="5" t="s">
        <v>22</v>
      </c>
      <c r="D48" s="5" t="s">
        <v>86</v>
      </c>
      <c r="E48" s="5" t="str">
        <f t="shared" si="1"/>
        <v>Mobiles</v>
      </c>
      <c r="F48" s="5">
        <v>20.0</v>
      </c>
      <c r="G48" s="5">
        <v>59847.0</v>
      </c>
      <c r="H48" s="5" t="s">
        <v>34</v>
      </c>
      <c r="I48" s="12" t="str">
        <f t="shared" si="2"/>
        <v>Feb</v>
      </c>
      <c r="J48" s="6">
        <f t="shared" si="3"/>
        <v>1196940</v>
      </c>
      <c r="K48" s="5" t="s">
        <v>75</v>
      </c>
      <c r="L48" s="5">
        <v>1196940.0</v>
      </c>
      <c r="M48" s="6">
        <f t="shared" si="4"/>
        <v>2</v>
      </c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1" t="s">
        <v>228</v>
      </c>
      <c r="B49" s="7" t="s">
        <v>229</v>
      </c>
      <c r="C49" s="5" t="s">
        <v>24</v>
      </c>
      <c r="D49" s="5" t="s">
        <v>230</v>
      </c>
      <c r="E49" s="5" t="str">
        <f t="shared" si="1"/>
        <v>Accessories</v>
      </c>
      <c r="F49" s="5">
        <v>10.0</v>
      </c>
      <c r="G49" s="5">
        <v>24649.0</v>
      </c>
      <c r="H49" s="5" t="s">
        <v>34</v>
      </c>
      <c r="I49" s="12" t="str">
        <f t="shared" si="2"/>
        <v>Jan</v>
      </c>
      <c r="J49" s="6">
        <f t="shared" si="3"/>
        <v>246490</v>
      </c>
      <c r="K49" s="5" t="s">
        <v>30</v>
      </c>
      <c r="L49" s="5">
        <v>246490.0</v>
      </c>
      <c r="M49" s="6">
        <f t="shared" si="4"/>
        <v>1</v>
      </c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1" t="s">
        <v>232</v>
      </c>
      <c r="B50" s="7">
        <v>45570.0</v>
      </c>
      <c r="C50" s="5" t="s">
        <v>22</v>
      </c>
      <c r="D50" s="5" t="s">
        <v>233</v>
      </c>
      <c r="E50" s="5" t="str">
        <f t="shared" si="1"/>
        <v>Mobiles</v>
      </c>
      <c r="F50" s="5">
        <v>11.0</v>
      </c>
      <c r="G50" s="5">
        <v>11507.0</v>
      </c>
      <c r="H50" s="5" t="s">
        <v>29</v>
      </c>
      <c r="I50" s="12" t="str">
        <f t="shared" si="2"/>
        <v>May</v>
      </c>
      <c r="J50" s="6">
        <f t="shared" si="3"/>
        <v>126577</v>
      </c>
      <c r="K50" s="5" t="s">
        <v>37</v>
      </c>
      <c r="L50" s="5">
        <v>126577.0</v>
      </c>
      <c r="M50" s="6">
        <f t="shared" si="4"/>
        <v>5</v>
      </c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1" t="s">
        <v>235</v>
      </c>
      <c r="B51" s="7">
        <v>45515.0</v>
      </c>
      <c r="C51" s="5" t="s">
        <v>16</v>
      </c>
      <c r="D51" s="5" t="s">
        <v>203</v>
      </c>
      <c r="E51" s="5" t="str">
        <f t="shared" si="1"/>
        <v>Mobiles</v>
      </c>
      <c r="F51" s="5">
        <v>9.0</v>
      </c>
      <c r="G51" s="5">
        <v>76018.0</v>
      </c>
      <c r="H51" s="5" t="s">
        <v>34</v>
      </c>
      <c r="I51" s="12" t="str">
        <f t="shared" si="2"/>
        <v>Nov</v>
      </c>
      <c r="J51" s="6">
        <f t="shared" si="3"/>
        <v>684162</v>
      </c>
      <c r="K51" s="5" t="s">
        <v>37</v>
      </c>
      <c r="L51" s="5">
        <v>684162.0</v>
      </c>
      <c r="M51" s="6">
        <f t="shared" si="4"/>
        <v>11</v>
      </c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1" t="s">
        <v>237</v>
      </c>
      <c r="B52" s="7" t="s">
        <v>72</v>
      </c>
      <c r="C52" s="5" t="s">
        <v>22</v>
      </c>
      <c r="D52" s="5" t="s">
        <v>238</v>
      </c>
      <c r="E52" s="5" t="str">
        <f t="shared" si="1"/>
        <v>Accessories</v>
      </c>
      <c r="F52" s="5">
        <v>6.0</v>
      </c>
      <c r="G52" s="5">
        <v>62217.0</v>
      </c>
      <c r="H52" s="5" t="s">
        <v>34</v>
      </c>
      <c r="I52" s="12" t="str">
        <f t="shared" si="2"/>
        <v>Feb</v>
      </c>
      <c r="J52" s="6">
        <f t="shared" si="3"/>
        <v>373302</v>
      </c>
      <c r="K52" s="5" t="s">
        <v>30</v>
      </c>
      <c r="L52" s="5">
        <v>373302.0</v>
      </c>
      <c r="M52" s="6">
        <f t="shared" si="4"/>
        <v>2</v>
      </c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1" t="s">
        <v>241</v>
      </c>
      <c r="B53" s="7" t="s">
        <v>242</v>
      </c>
      <c r="C53" s="5" t="s">
        <v>24</v>
      </c>
      <c r="D53" s="5" t="s">
        <v>243</v>
      </c>
      <c r="E53" s="5" t="str">
        <f t="shared" si="1"/>
        <v>Laptops</v>
      </c>
      <c r="F53" s="5">
        <v>8.0</v>
      </c>
      <c r="G53" s="5">
        <v>50690.0</v>
      </c>
      <c r="H53" s="5" t="s">
        <v>34</v>
      </c>
      <c r="I53" s="12" t="str">
        <f t="shared" si="2"/>
        <v>Oct</v>
      </c>
      <c r="J53" s="6">
        <f t="shared" si="3"/>
        <v>405520</v>
      </c>
      <c r="K53" s="5" t="s">
        <v>43</v>
      </c>
      <c r="L53" s="5">
        <v>405520.0</v>
      </c>
      <c r="M53" s="6">
        <f t="shared" si="4"/>
        <v>10</v>
      </c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1" t="s">
        <v>245</v>
      </c>
      <c r="B54" s="7">
        <v>45568.0</v>
      </c>
      <c r="C54" s="5" t="s">
        <v>16</v>
      </c>
      <c r="D54" s="5" t="s">
        <v>246</v>
      </c>
      <c r="E54" s="5" t="str">
        <f t="shared" si="1"/>
        <v>Accessories</v>
      </c>
      <c r="F54" s="5">
        <v>9.0</v>
      </c>
      <c r="G54" s="5">
        <v>38579.0</v>
      </c>
      <c r="H54" s="5" t="s">
        <v>34</v>
      </c>
      <c r="I54" s="12" t="str">
        <f t="shared" si="2"/>
        <v>Mar</v>
      </c>
      <c r="J54" s="6">
        <f t="shared" si="3"/>
        <v>347211</v>
      </c>
      <c r="K54" s="5" t="s">
        <v>85</v>
      </c>
      <c r="L54" s="5">
        <v>347211.0</v>
      </c>
      <c r="M54" s="6">
        <f t="shared" si="4"/>
        <v>3</v>
      </c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1" t="s">
        <v>248</v>
      </c>
      <c r="B55" s="7">
        <v>45638.0</v>
      </c>
      <c r="C55" s="5" t="s">
        <v>24</v>
      </c>
      <c r="D55" s="5" t="s">
        <v>165</v>
      </c>
      <c r="E55" s="5" t="str">
        <f t="shared" si="1"/>
        <v>Accessories</v>
      </c>
      <c r="F55" s="5">
        <v>11.0</v>
      </c>
      <c r="G55" s="5">
        <v>77325.0</v>
      </c>
      <c r="H55" s="5" t="s">
        <v>29</v>
      </c>
      <c r="I55" s="12" t="str">
        <f t="shared" si="2"/>
        <v>Dec</v>
      </c>
      <c r="J55" s="6">
        <f t="shared" si="3"/>
        <v>850575</v>
      </c>
      <c r="K55" s="5" t="s">
        <v>23</v>
      </c>
      <c r="L55" s="5">
        <v>850575.0</v>
      </c>
      <c r="M55" s="6">
        <f t="shared" si="4"/>
        <v>12</v>
      </c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1" t="s">
        <v>251</v>
      </c>
      <c r="B56" s="7" t="s">
        <v>252</v>
      </c>
      <c r="C56" s="5" t="s">
        <v>19</v>
      </c>
      <c r="D56" s="5" t="s">
        <v>253</v>
      </c>
      <c r="E56" s="5" t="str">
        <f t="shared" si="1"/>
        <v>Mobiles</v>
      </c>
      <c r="F56" s="5">
        <v>13.0</v>
      </c>
      <c r="G56" s="5">
        <v>5631.0</v>
      </c>
      <c r="H56" s="5" t="s">
        <v>20</v>
      </c>
      <c r="I56" s="12" t="str">
        <f t="shared" si="2"/>
        <v>Aug</v>
      </c>
      <c r="J56" s="6">
        <f t="shared" si="3"/>
        <v>0</v>
      </c>
      <c r="K56" s="5" t="s">
        <v>37</v>
      </c>
      <c r="L56" s="5">
        <v>73203.0</v>
      </c>
      <c r="M56" s="6">
        <f t="shared" si="4"/>
        <v>8</v>
      </c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1" t="s">
        <v>255</v>
      </c>
      <c r="B57" s="7" t="s">
        <v>256</v>
      </c>
      <c r="C57" s="5" t="s">
        <v>19</v>
      </c>
      <c r="D57" s="5" t="s">
        <v>257</v>
      </c>
      <c r="E57" s="5" t="str">
        <f t="shared" si="1"/>
        <v>Accessories</v>
      </c>
      <c r="F57" s="5">
        <v>10.0</v>
      </c>
      <c r="G57" s="5">
        <v>783.0</v>
      </c>
      <c r="H57" s="5" t="s">
        <v>34</v>
      </c>
      <c r="I57" s="12" t="str">
        <f t="shared" si="2"/>
        <v>Sep</v>
      </c>
      <c r="J57" s="6">
        <f t="shared" si="3"/>
        <v>7830</v>
      </c>
      <c r="K57" s="5" t="s">
        <v>30</v>
      </c>
      <c r="L57" s="5">
        <v>7830.0</v>
      </c>
      <c r="M57" s="6">
        <f t="shared" si="4"/>
        <v>9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1" t="s">
        <v>259</v>
      </c>
      <c r="B58" s="7" t="s">
        <v>260</v>
      </c>
      <c r="C58" s="5" t="s">
        <v>16</v>
      </c>
      <c r="D58" s="5" t="s">
        <v>261</v>
      </c>
      <c r="E58" s="5" t="str">
        <f t="shared" si="1"/>
        <v>Laptops</v>
      </c>
      <c r="F58" s="5">
        <v>8.0</v>
      </c>
      <c r="G58" s="5">
        <v>32469.0</v>
      </c>
      <c r="H58" s="5" t="s">
        <v>34</v>
      </c>
      <c r="I58" s="12" t="str">
        <f t="shared" si="2"/>
        <v>Jan</v>
      </c>
      <c r="J58" s="6">
        <f t="shared" si="3"/>
        <v>259752</v>
      </c>
      <c r="K58" s="5" t="s">
        <v>55</v>
      </c>
      <c r="L58" s="5">
        <v>259752.0</v>
      </c>
      <c r="M58" s="6">
        <f t="shared" si="4"/>
        <v>1</v>
      </c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1" t="s">
        <v>264</v>
      </c>
      <c r="B59" s="7" t="s">
        <v>265</v>
      </c>
      <c r="C59" s="5" t="s">
        <v>22</v>
      </c>
      <c r="D59" s="5" t="s">
        <v>266</v>
      </c>
      <c r="E59" s="5" t="str">
        <f t="shared" si="1"/>
        <v>Accessories</v>
      </c>
      <c r="F59" s="5">
        <v>13.0</v>
      </c>
      <c r="G59" s="5">
        <v>36675.0</v>
      </c>
      <c r="H59" s="5" t="s">
        <v>20</v>
      </c>
      <c r="I59" s="12" t="str">
        <f t="shared" si="2"/>
        <v>May</v>
      </c>
      <c r="J59" s="6">
        <f t="shared" si="3"/>
        <v>0</v>
      </c>
      <c r="K59" s="5" t="s">
        <v>30</v>
      </c>
      <c r="L59" s="5">
        <v>476775.0</v>
      </c>
      <c r="M59" s="6">
        <f t="shared" si="4"/>
        <v>5</v>
      </c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1" t="s">
        <v>268</v>
      </c>
      <c r="B60" s="7" t="s">
        <v>269</v>
      </c>
      <c r="C60" s="5" t="s">
        <v>19</v>
      </c>
      <c r="D60" s="5" t="s">
        <v>270</v>
      </c>
      <c r="E60" s="5" t="str">
        <f t="shared" si="1"/>
        <v>Mobiles</v>
      </c>
      <c r="F60" s="5">
        <v>14.0</v>
      </c>
      <c r="G60" s="5">
        <v>1974.0</v>
      </c>
      <c r="H60" s="5" t="s">
        <v>20</v>
      </c>
      <c r="I60" s="12" t="str">
        <f t="shared" si="2"/>
        <v>Feb</v>
      </c>
      <c r="J60" s="6">
        <f t="shared" si="3"/>
        <v>0</v>
      </c>
      <c r="K60" s="5" t="s">
        <v>37</v>
      </c>
      <c r="L60" s="5">
        <v>27636.0</v>
      </c>
      <c r="M60" s="6">
        <f t="shared" si="4"/>
        <v>2</v>
      </c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1" t="s">
        <v>272</v>
      </c>
      <c r="B61" s="7">
        <v>45415.0</v>
      </c>
      <c r="C61" s="5" t="s">
        <v>19</v>
      </c>
      <c r="D61" s="5" t="s">
        <v>273</v>
      </c>
      <c r="E61" s="5" t="str">
        <f t="shared" si="1"/>
        <v>Accessories</v>
      </c>
      <c r="F61" s="5">
        <v>1.0</v>
      </c>
      <c r="G61" s="5">
        <v>58531.0</v>
      </c>
      <c r="H61" s="5" t="s">
        <v>29</v>
      </c>
      <c r="I61" s="12" t="str">
        <f t="shared" si="2"/>
        <v>Mar</v>
      </c>
      <c r="J61" s="6">
        <f t="shared" si="3"/>
        <v>58531</v>
      </c>
      <c r="K61" s="5" t="s">
        <v>30</v>
      </c>
      <c r="L61" s="5">
        <v>58531.0</v>
      </c>
      <c r="M61" s="6">
        <f t="shared" si="4"/>
        <v>3</v>
      </c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1" t="s">
        <v>274</v>
      </c>
      <c r="B62" s="7">
        <v>45571.0</v>
      </c>
      <c r="C62" s="5" t="s">
        <v>16</v>
      </c>
      <c r="D62" s="5" t="s">
        <v>275</v>
      </c>
      <c r="E62" s="5" t="str">
        <f t="shared" si="1"/>
        <v>Accessories</v>
      </c>
      <c r="F62" s="5">
        <v>3.0</v>
      </c>
      <c r="G62" s="5">
        <v>19588.0</v>
      </c>
      <c r="H62" s="5" t="s">
        <v>20</v>
      </c>
      <c r="I62" s="12" t="str">
        <f t="shared" si="2"/>
        <v>Jun</v>
      </c>
      <c r="J62" s="6">
        <f t="shared" si="3"/>
        <v>0</v>
      </c>
      <c r="K62" s="5" t="s">
        <v>30</v>
      </c>
      <c r="L62" s="5">
        <v>58764.0</v>
      </c>
      <c r="M62" s="6">
        <f t="shared" si="4"/>
        <v>6</v>
      </c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1" t="s">
        <v>277</v>
      </c>
      <c r="B63" s="7" t="s">
        <v>278</v>
      </c>
      <c r="C63" s="5" t="s">
        <v>24</v>
      </c>
      <c r="D63" s="5" t="s">
        <v>279</v>
      </c>
      <c r="E63" s="5" t="str">
        <f t="shared" si="1"/>
        <v>Mobiles</v>
      </c>
      <c r="F63" s="5">
        <v>10.0</v>
      </c>
      <c r="G63" s="5">
        <v>56913.0</v>
      </c>
      <c r="H63" s="5" t="s">
        <v>20</v>
      </c>
      <c r="I63" s="12" t="str">
        <f t="shared" si="2"/>
        <v>Jun</v>
      </c>
      <c r="J63" s="6">
        <f t="shared" si="3"/>
        <v>0</v>
      </c>
      <c r="K63" s="5" t="s">
        <v>75</v>
      </c>
      <c r="L63" s="5">
        <v>569130.0</v>
      </c>
      <c r="M63" s="6">
        <f t="shared" si="4"/>
        <v>6</v>
      </c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1" t="s">
        <v>281</v>
      </c>
      <c r="B64" s="7">
        <v>45301.0</v>
      </c>
      <c r="C64" s="5" t="s">
        <v>16</v>
      </c>
      <c r="D64" s="5" t="s">
        <v>254</v>
      </c>
      <c r="E64" s="5" t="str">
        <f t="shared" si="1"/>
        <v>Accessories</v>
      </c>
      <c r="F64" s="5">
        <v>14.0</v>
      </c>
      <c r="G64" s="5">
        <v>38706.0</v>
      </c>
      <c r="H64" s="5" t="s">
        <v>29</v>
      </c>
      <c r="I64" s="12" t="str">
        <f t="shared" si="2"/>
        <v>Oct</v>
      </c>
      <c r="J64" s="6">
        <f t="shared" si="3"/>
        <v>541884</v>
      </c>
      <c r="K64" s="5" t="s">
        <v>30</v>
      </c>
      <c r="L64" s="5">
        <v>541884.0</v>
      </c>
      <c r="M64" s="6">
        <f t="shared" si="4"/>
        <v>10</v>
      </c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1" t="s">
        <v>283</v>
      </c>
      <c r="B65" s="7">
        <v>45633.0</v>
      </c>
      <c r="C65" s="5" t="s">
        <v>19</v>
      </c>
      <c r="D65" s="5" t="s">
        <v>284</v>
      </c>
      <c r="E65" s="5" t="str">
        <f t="shared" si="1"/>
        <v>Accessories</v>
      </c>
      <c r="F65" s="5">
        <v>9.0</v>
      </c>
      <c r="G65" s="5">
        <v>18791.0</v>
      </c>
      <c r="H65" s="5" t="s">
        <v>29</v>
      </c>
      <c r="I65" s="12" t="str">
        <f t="shared" si="2"/>
        <v>Jul</v>
      </c>
      <c r="J65" s="6">
        <f t="shared" si="3"/>
        <v>169119</v>
      </c>
      <c r="K65" s="5" t="s">
        <v>85</v>
      </c>
      <c r="L65" s="5">
        <v>169119.0</v>
      </c>
      <c r="M65" s="6">
        <f t="shared" si="4"/>
        <v>7</v>
      </c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1" t="s">
        <v>287</v>
      </c>
      <c r="B66" s="7" t="s">
        <v>288</v>
      </c>
      <c r="C66" s="5" t="s">
        <v>22</v>
      </c>
      <c r="D66" s="5" t="s">
        <v>289</v>
      </c>
      <c r="E66" s="5" t="str">
        <f t="shared" si="1"/>
        <v>Mobiles</v>
      </c>
      <c r="F66" s="5">
        <v>2.0</v>
      </c>
      <c r="G66" s="5">
        <v>17982.0</v>
      </c>
      <c r="H66" s="5" t="s">
        <v>29</v>
      </c>
      <c r="I66" s="12" t="str">
        <f t="shared" si="2"/>
        <v>Dec</v>
      </c>
      <c r="J66" s="6">
        <f t="shared" si="3"/>
        <v>35964</v>
      </c>
      <c r="K66" s="5" t="s">
        <v>75</v>
      </c>
      <c r="L66" s="5">
        <v>35964.0</v>
      </c>
      <c r="M66" s="6">
        <f t="shared" si="4"/>
        <v>12</v>
      </c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1" t="s">
        <v>291</v>
      </c>
      <c r="B67" s="7">
        <v>45566.0</v>
      </c>
      <c r="C67" s="5" t="s">
        <v>19</v>
      </c>
      <c r="D67" s="5" t="s">
        <v>292</v>
      </c>
      <c r="E67" s="5" t="str">
        <f t="shared" si="1"/>
        <v>Laptops</v>
      </c>
      <c r="F67" s="5">
        <v>13.0</v>
      </c>
      <c r="G67" s="5">
        <v>34763.0</v>
      </c>
      <c r="H67" s="5" t="s">
        <v>20</v>
      </c>
      <c r="I67" s="12" t="str">
        <f t="shared" si="2"/>
        <v>Jan</v>
      </c>
      <c r="J67" s="6">
        <f t="shared" si="3"/>
        <v>0</v>
      </c>
      <c r="K67" s="5" t="s">
        <v>43</v>
      </c>
      <c r="L67" s="5">
        <v>451919.0</v>
      </c>
      <c r="M67" s="6">
        <f t="shared" si="4"/>
        <v>1</v>
      </c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1" t="s">
        <v>294</v>
      </c>
      <c r="B68" s="7">
        <v>45444.0</v>
      </c>
      <c r="C68" s="5" t="s">
        <v>24</v>
      </c>
      <c r="D68" s="5" t="s">
        <v>151</v>
      </c>
      <c r="E68" s="5" t="str">
        <f t="shared" si="1"/>
        <v>Laptops</v>
      </c>
      <c r="F68" s="5">
        <v>17.0</v>
      </c>
      <c r="G68" s="5">
        <v>52064.0</v>
      </c>
      <c r="H68" s="5" t="s">
        <v>29</v>
      </c>
      <c r="I68" s="12" t="str">
        <f t="shared" si="2"/>
        <v>Jan</v>
      </c>
      <c r="J68" s="6">
        <f t="shared" si="3"/>
        <v>885088</v>
      </c>
      <c r="K68" s="5" t="s">
        <v>43</v>
      </c>
      <c r="L68" s="5">
        <v>885088.0</v>
      </c>
      <c r="M68" s="6">
        <f t="shared" si="4"/>
        <v>1</v>
      </c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1" t="s">
        <v>297</v>
      </c>
      <c r="B69" s="7" t="s">
        <v>298</v>
      </c>
      <c r="C69" s="5" t="s">
        <v>24</v>
      </c>
      <c r="D69" s="5" t="s">
        <v>209</v>
      </c>
      <c r="E69" s="5" t="str">
        <f t="shared" si="1"/>
        <v>Mobiles</v>
      </c>
      <c r="F69" s="5">
        <v>18.0</v>
      </c>
      <c r="G69" s="5">
        <v>37329.0</v>
      </c>
      <c r="H69" s="5" t="s">
        <v>29</v>
      </c>
      <c r="I69" s="12" t="str">
        <f t="shared" si="2"/>
        <v>Nov</v>
      </c>
      <c r="J69" s="6">
        <f t="shared" si="3"/>
        <v>671922</v>
      </c>
      <c r="K69" s="5" t="s">
        <v>37</v>
      </c>
      <c r="L69" s="5">
        <v>671922.0</v>
      </c>
      <c r="M69" s="6">
        <f t="shared" si="4"/>
        <v>11</v>
      </c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1" t="s">
        <v>300</v>
      </c>
      <c r="B70" s="7" t="s">
        <v>301</v>
      </c>
      <c r="C70" s="5" t="s">
        <v>22</v>
      </c>
      <c r="D70" s="5" t="s">
        <v>302</v>
      </c>
      <c r="E70" s="5" t="str">
        <f t="shared" si="1"/>
        <v>Laptops</v>
      </c>
      <c r="F70" s="5">
        <v>1.0</v>
      </c>
      <c r="G70" s="5">
        <v>58945.0</v>
      </c>
      <c r="H70" s="5" t="s">
        <v>20</v>
      </c>
      <c r="I70" s="12" t="str">
        <f t="shared" si="2"/>
        <v>Jun</v>
      </c>
      <c r="J70" s="6">
        <f t="shared" si="3"/>
        <v>0</v>
      </c>
      <c r="K70" s="5" t="s">
        <v>55</v>
      </c>
      <c r="L70" s="5">
        <v>58945.0</v>
      </c>
      <c r="M70" s="6">
        <f t="shared" si="4"/>
        <v>6</v>
      </c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1" t="s">
        <v>304</v>
      </c>
      <c r="B71" s="7">
        <v>45332.0</v>
      </c>
      <c r="C71" s="5" t="s">
        <v>19</v>
      </c>
      <c r="D71" s="5" t="s">
        <v>305</v>
      </c>
      <c r="E71" s="5" t="str">
        <f t="shared" si="1"/>
        <v>Mobiles</v>
      </c>
      <c r="F71" s="5">
        <v>15.0</v>
      </c>
      <c r="G71" s="5">
        <v>30752.0</v>
      </c>
      <c r="H71" s="5" t="s">
        <v>20</v>
      </c>
      <c r="I71" s="12" t="str">
        <f t="shared" si="2"/>
        <v>Oct</v>
      </c>
      <c r="J71" s="6">
        <f t="shared" si="3"/>
        <v>0</v>
      </c>
      <c r="K71" s="5" t="s">
        <v>75</v>
      </c>
      <c r="L71" s="5">
        <v>461280.0</v>
      </c>
      <c r="M71" s="6">
        <f t="shared" si="4"/>
        <v>10</v>
      </c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1" t="s">
        <v>307</v>
      </c>
      <c r="B72" s="7" t="s">
        <v>308</v>
      </c>
      <c r="C72" s="5" t="s">
        <v>16</v>
      </c>
      <c r="D72" s="5" t="s">
        <v>310</v>
      </c>
      <c r="E72" s="5" t="str">
        <f t="shared" si="1"/>
        <v>Accessories</v>
      </c>
      <c r="F72" s="5">
        <v>6.0</v>
      </c>
      <c r="G72" s="5">
        <v>20376.0</v>
      </c>
      <c r="H72" s="5" t="s">
        <v>20</v>
      </c>
      <c r="I72" s="12" t="str">
        <f t="shared" si="2"/>
        <v>May</v>
      </c>
      <c r="J72" s="6">
        <f t="shared" si="3"/>
        <v>0</v>
      </c>
      <c r="K72" s="5" t="s">
        <v>23</v>
      </c>
      <c r="L72" s="5">
        <v>122256.0</v>
      </c>
      <c r="M72" s="6">
        <f t="shared" si="4"/>
        <v>5</v>
      </c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1" t="s">
        <v>311</v>
      </c>
      <c r="B73" s="7" t="s">
        <v>312</v>
      </c>
      <c r="C73" s="5" t="s">
        <v>22</v>
      </c>
      <c r="D73" s="5" t="s">
        <v>313</v>
      </c>
      <c r="E73" s="5" t="str">
        <f t="shared" si="1"/>
        <v>Accessories</v>
      </c>
      <c r="F73" s="5">
        <v>12.0</v>
      </c>
      <c r="G73" s="5">
        <v>16751.0</v>
      </c>
      <c r="H73" s="5" t="s">
        <v>29</v>
      </c>
      <c r="I73" s="12" t="str">
        <f t="shared" si="2"/>
        <v>Nov</v>
      </c>
      <c r="J73" s="6">
        <f t="shared" si="3"/>
        <v>201012</v>
      </c>
      <c r="K73" s="5" t="s">
        <v>85</v>
      </c>
      <c r="L73" s="5">
        <v>201012.0</v>
      </c>
      <c r="M73" s="6">
        <f t="shared" si="4"/>
        <v>11</v>
      </c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1" t="s">
        <v>315</v>
      </c>
      <c r="B74" s="7">
        <v>45331.0</v>
      </c>
      <c r="C74" s="5" t="s">
        <v>19</v>
      </c>
      <c r="D74" s="5" t="s">
        <v>303</v>
      </c>
      <c r="E74" s="5" t="str">
        <f t="shared" si="1"/>
        <v>Laptops</v>
      </c>
      <c r="F74" s="5">
        <v>8.0</v>
      </c>
      <c r="G74" s="5">
        <v>49186.0</v>
      </c>
      <c r="H74" s="5" t="s">
        <v>34</v>
      </c>
      <c r="I74" s="12" t="str">
        <f t="shared" si="2"/>
        <v>Sep</v>
      </c>
      <c r="J74" s="6">
        <f t="shared" si="3"/>
        <v>393488</v>
      </c>
      <c r="K74" s="5" t="s">
        <v>43</v>
      </c>
      <c r="L74" s="5">
        <v>393488.0</v>
      </c>
      <c r="M74" s="6">
        <f t="shared" si="4"/>
        <v>9</v>
      </c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1" t="s">
        <v>317</v>
      </c>
      <c r="B75" s="7">
        <v>45482.0</v>
      </c>
      <c r="C75" s="5" t="s">
        <v>24</v>
      </c>
      <c r="D75" s="5" t="s">
        <v>319</v>
      </c>
      <c r="E75" s="5" t="str">
        <f t="shared" si="1"/>
        <v>Accessories</v>
      </c>
      <c r="F75" s="5">
        <v>15.0</v>
      </c>
      <c r="G75" s="5">
        <v>24217.0</v>
      </c>
      <c r="H75" s="5" t="s">
        <v>29</v>
      </c>
      <c r="I75" s="12" t="str">
        <f t="shared" si="2"/>
        <v>Sep</v>
      </c>
      <c r="J75" s="6">
        <f t="shared" si="3"/>
        <v>363255</v>
      </c>
      <c r="K75" s="5" t="s">
        <v>30</v>
      </c>
      <c r="L75" s="5">
        <v>363255.0</v>
      </c>
      <c r="M75" s="6">
        <f t="shared" si="4"/>
        <v>9</v>
      </c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1" t="s">
        <v>320</v>
      </c>
      <c r="B76" s="7">
        <v>45631.0</v>
      </c>
      <c r="C76" s="5" t="s">
        <v>16</v>
      </c>
      <c r="D76" s="5" t="s">
        <v>316</v>
      </c>
      <c r="E76" s="5" t="str">
        <f t="shared" si="1"/>
        <v>Accessories</v>
      </c>
      <c r="F76" s="5">
        <v>12.0</v>
      </c>
      <c r="G76" s="5">
        <v>30775.0</v>
      </c>
      <c r="H76" s="5" t="s">
        <v>34</v>
      </c>
      <c r="I76" s="12" t="str">
        <f t="shared" si="2"/>
        <v>May</v>
      </c>
      <c r="J76" s="6">
        <f t="shared" si="3"/>
        <v>369300</v>
      </c>
      <c r="K76" s="5" t="s">
        <v>23</v>
      </c>
      <c r="L76" s="5">
        <v>369300.0</v>
      </c>
      <c r="M76" s="6">
        <f t="shared" si="4"/>
        <v>5</v>
      </c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1" t="s">
        <v>322</v>
      </c>
      <c r="B77" s="7">
        <v>45632.0</v>
      </c>
      <c r="C77" s="5" t="s">
        <v>16</v>
      </c>
      <c r="D77" s="5" t="s">
        <v>323</v>
      </c>
      <c r="E77" s="5" t="str">
        <f t="shared" si="1"/>
        <v>Mobiles</v>
      </c>
      <c r="F77" s="5">
        <v>5.0</v>
      </c>
      <c r="G77" s="5">
        <v>6071.0</v>
      </c>
      <c r="H77" s="5" t="s">
        <v>29</v>
      </c>
      <c r="I77" s="12" t="str">
        <f t="shared" si="2"/>
        <v>Jun</v>
      </c>
      <c r="J77" s="6">
        <f t="shared" si="3"/>
        <v>30355</v>
      </c>
      <c r="K77" s="5" t="s">
        <v>37</v>
      </c>
      <c r="L77" s="5">
        <v>30355.0</v>
      </c>
      <c r="M77" s="6">
        <f t="shared" si="4"/>
        <v>6</v>
      </c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1" t="s">
        <v>325</v>
      </c>
      <c r="B78" s="7" t="s">
        <v>242</v>
      </c>
      <c r="C78" s="5" t="s">
        <v>22</v>
      </c>
      <c r="D78" s="5" t="s">
        <v>326</v>
      </c>
      <c r="E78" s="5" t="str">
        <f t="shared" si="1"/>
        <v>Mobiles</v>
      </c>
      <c r="F78" s="5">
        <v>20.0</v>
      </c>
      <c r="G78" s="5">
        <v>18627.0</v>
      </c>
      <c r="H78" s="5" t="s">
        <v>20</v>
      </c>
      <c r="I78" s="12" t="str">
        <f t="shared" si="2"/>
        <v>Oct</v>
      </c>
      <c r="J78" s="6">
        <f t="shared" si="3"/>
        <v>0</v>
      </c>
      <c r="K78" s="5" t="s">
        <v>37</v>
      </c>
      <c r="L78" s="5">
        <v>372540.0</v>
      </c>
      <c r="M78" s="6">
        <f t="shared" si="4"/>
        <v>10</v>
      </c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1" t="s">
        <v>328</v>
      </c>
      <c r="B79" s="7">
        <v>45568.0</v>
      </c>
      <c r="C79" s="5" t="s">
        <v>16</v>
      </c>
      <c r="D79" s="5" t="s">
        <v>329</v>
      </c>
      <c r="E79" s="5" t="str">
        <f t="shared" si="1"/>
        <v>Mobiles</v>
      </c>
      <c r="F79" s="5">
        <v>9.0</v>
      </c>
      <c r="G79" s="5">
        <v>48389.0</v>
      </c>
      <c r="H79" s="5" t="s">
        <v>20</v>
      </c>
      <c r="I79" s="12" t="str">
        <f t="shared" si="2"/>
        <v>Mar</v>
      </c>
      <c r="J79" s="6">
        <f t="shared" si="3"/>
        <v>0</v>
      </c>
      <c r="K79" s="5" t="s">
        <v>75</v>
      </c>
      <c r="L79" s="5">
        <v>435501.0</v>
      </c>
      <c r="M79" s="6">
        <f t="shared" si="4"/>
        <v>3</v>
      </c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1" t="s">
        <v>331</v>
      </c>
      <c r="B80" s="7">
        <v>45638.0</v>
      </c>
      <c r="C80" s="5" t="s">
        <v>16</v>
      </c>
      <c r="D80" s="5" t="s">
        <v>332</v>
      </c>
      <c r="E80" s="5" t="str">
        <f t="shared" si="1"/>
        <v>Accessories</v>
      </c>
      <c r="F80" s="5">
        <v>7.0</v>
      </c>
      <c r="G80" s="5">
        <v>2916.0</v>
      </c>
      <c r="H80" s="5" t="s">
        <v>34</v>
      </c>
      <c r="I80" s="12" t="str">
        <f t="shared" si="2"/>
        <v>Dec</v>
      </c>
      <c r="J80" s="6">
        <f t="shared" si="3"/>
        <v>20412</v>
      </c>
      <c r="K80" s="5" t="s">
        <v>30</v>
      </c>
      <c r="L80" s="5">
        <v>20412.0</v>
      </c>
      <c r="M80" s="6">
        <f t="shared" si="4"/>
        <v>12</v>
      </c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1" t="s">
        <v>334</v>
      </c>
      <c r="B81" s="7" t="s">
        <v>335</v>
      </c>
      <c r="C81" s="5" t="s">
        <v>16</v>
      </c>
      <c r="D81" s="5" t="s">
        <v>113</v>
      </c>
      <c r="E81" s="5" t="str">
        <f t="shared" si="1"/>
        <v>Laptops</v>
      </c>
      <c r="F81" s="5">
        <v>13.0</v>
      </c>
      <c r="G81" s="5">
        <v>79157.0</v>
      </c>
      <c r="H81" s="5" t="s">
        <v>29</v>
      </c>
      <c r="I81" s="12" t="str">
        <f t="shared" si="2"/>
        <v>Aug</v>
      </c>
      <c r="J81" s="6">
        <f t="shared" si="3"/>
        <v>1029041</v>
      </c>
      <c r="K81" s="5" t="s">
        <v>43</v>
      </c>
      <c r="L81" s="5">
        <v>1029041.0</v>
      </c>
      <c r="M81" s="6">
        <f t="shared" si="4"/>
        <v>8</v>
      </c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1" t="s">
        <v>337</v>
      </c>
      <c r="B82" s="7">
        <v>45547.0</v>
      </c>
      <c r="C82" s="5" t="s">
        <v>19</v>
      </c>
      <c r="D82" s="5" t="s">
        <v>227</v>
      </c>
      <c r="E82" s="5" t="str">
        <f t="shared" si="1"/>
        <v>Accessories</v>
      </c>
      <c r="F82" s="5">
        <v>10.0</v>
      </c>
      <c r="G82" s="5">
        <v>62754.0</v>
      </c>
      <c r="H82" s="5" t="s">
        <v>29</v>
      </c>
      <c r="I82" s="12" t="str">
        <f t="shared" si="2"/>
        <v>Dec</v>
      </c>
      <c r="J82" s="6">
        <f t="shared" si="3"/>
        <v>627540</v>
      </c>
      <c r="K82" s="5" t="s">
        <v>30</v>
      </c>
      <c r="L82" s="5">
        <v>627540.0</v>
      </c>
      <c r="M82" s="6">
        <f t="shared" si="4"/>
        <v>12</v>
      </c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1" t="s">
        <v>339</v>
      </c>
      <c r="B83" s="7">
        <v>45483.0</v>
      </c>
      <c r="C83" s="5" t="s">
        <v>19</v>
      </c>
      <c r="D83" s="5" t="s">
        <v>340</v>
      </c>
      <c r="E83" s="5" t="str">
        <f t="shared" si="1"/>
        <v>Mobiles</v>
      </c>
      <c r="F83" s="5">
        <v>16.0</v>
      </c>
      <c r="G83" s="5">
        <v>49327.0</v>
      </c>
      <c r="H83" s="5" t="s">
        <v>20</v>
      </c>
      <c r="I83" s="12" t="str">
        <f t="shared" si="2"/>
        <v>Oct</v>
      </c>
      <c r="J83" s="6">
        <f t="shared" si="3"/>
        <v>0</v>
      </c>
      <c r="K83" s="5" t="s">
        <v>37</v>
      </c>
      <c r="L83" s="5">
        <v>789232.0</v>
      </c>
      <c r="M83" s="6">
        <f t="shared" si="4"/>
        <v>10</v>
      </c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1" t="s">
        <v>341</v>
      </c>
      <c r="B84" s="7" t="s">
        <v>342</v>
      </c>
      <c r="C84" s="5" t="s">
        <v>19</v>
      </c>
      <c r="D84" s="5" t="s">
        <v>290</v>
      </c>
      <c r="E84" s="5" t="str">
        <f t="shared" si="1"/>
        <v>Laptops</v>
      </c>
      <c r="F84" s="5">
        <v>7.0</v>
      </c>
      <c r="G84" s="5">
        <v>60535.0</v>
      </c>
      <c r="H84" s="5" t="s">
        <v>34</v>
      </c>
      <c r="I84" s="12" t="str">
        <f t="shared" si="2"/>
        <v>Oct</v>
      </c>
      <c r="J84" s="6">
        <f t="shared" si="3"/>
        <v>423745</v>
      </c>
      <c r="K84" s="5" t="s">
        <v>55</v>
      </c>
      <c r="L84" s="5">
        <v>423745.0</v>
      </c>
      <c r="M84" s="6">
        <f t="shared" si="4"/>
        <v>10</v>
      </c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1" t="s">
        <v>343</v>
      </c>
      <c r="B85" s="7">
        <v>45384.0</v>
      </c>
      <c r="C85" s="5" t="s">
        <v>22</v>
      </c>
      <c r="D85" s="5" t="s">
        <v>177</v>
      </c>
      <c r="E85" s="5" t="str">
        <f t="shared" si="1"/>
        <v>Mobiles</v>
      </c>
      <c r="F85" s="5">
        <v>12.0</v>
      </c>
      <c r="G85" s="5">
        <v>66313.0</v>
      </c>
      <c r="H85" s="5" t="s">
        <v>29</v>
      </c>
      <c r="I85" s="12" t="str">
        <f t="shared" si="2"/>
        <v>Feb</v>
      </c>
      <c r="J85" s="6">
        <f t="shared" si="3"/>
        <v>795756</v>
      </c>
      <c r="K85" s="5" t="s">
        <v>37</v>
      </c>
      <c r="L85" s="5">
        <v>795756.0</v>
      </c>
      <c r="M85" s="6">
        <f t="shared" si="4"/>
        <v>2</v>
      </c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1" t="s">
        <v>345</v>
      </c>
      <c r="B86" s="7" t="s">
        <v>346</v>
      </c>
      <c r="C86" s="5" t="s">
        <v>16</v>
      </c>
      <c r="D86" s="5" t="s">
        <v>306</v>
      </c>
      <c r="E86" s="5" t="str">
        <f t="shared" si="1"/>
        <v>Mobiles</v>
      </c>
      <c r="F86" s="5">
        <v>5.0</v>
      </c>
      <c r="G86" s="5">
        <v>75146.0</v>
      </c>
      <c r="H86" s="5" t="s">
        <v>34</v>
      </c>
      <c r="I86" s="12" t="str">
        <f t="shared" si="2"/>
        <v>May</v>
      </c>
      <c r="J86" s="6">
        <f t="shared" si="3"/>
        <v>375730</v>
      </c>
      <c r="K86" s="5" t="s">
        <v>37</v>
      </c>
      <c r="L86" s="5">
        <v>375730.0</v>
      </c>
      <c r="M86" s="6">
        <f t="shared" si="4"/>
        <v>5</v>
      </c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1" t="s">
        <v>348</v>
      </c>
      <c r="B87" s="7" t="s">
        <v>349</v>
      </c>
      <c r="C87" s="5" t="s">
        <v>19</v>
      </c>
      <c r="D87" s="5" t="s">
        <v>350</v>
      </c>
      <c r="E87" s="5" t="str">
        <f t="shared" si="1"/>
        <v>Accessories</v>
      </c>
      <c r="F87" s="5">
        <v>11.0</v>
      </c>
      <c r="G87" s="5">
        <v>24127.0</v>
      </c>
      <c r="H87" s="5" t="s">
        <v>34</v>
      </c>
      <c r="I87" s="12" t="str">
        <f t="shared" si="2"/>
        <v>Sep</v>
      </c>
      <c r="J87" s="6">
        <f t="shared" si="3"/>
        <v>265397</v>
      </c>
      <c r="K87" s="5" t="s">
        <v>23</v>
      </c>
      <c r="L87" s="5">
        <v>265397.0</v>
      </c>
      <c r="M87" s="6">
        <f t="shared" si="4"/>
        <v>9</v>
      </c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1" t="s">
        <v>352</v>
      </c>
      <c r="B88" s="7" t="s">
        <v>353</v>
      </c>
      <c r="C88" s="5" t="s">
        <v>16</v>
      </c>
      <c r="D88" s="5" t="s">
        <v>324</v>
      </c>
      <c r="E88" s="5" t="str">
        <f t="shared" si="1"/>
        <v>Accessories</v>
      </c>
      <c r="F88" s="5">
        <v>5.0</v>
      </c>
      <c r="G88" s="5">
        <v>70416.0</v>
      </c>
      <c r="H88" s="5" t="s">
        <v>34</v>
      </c>
      <c r="I88" s="12" t="str">
        <f t="shared" si="2"/>
        <v>Mar</v>
      </c>
      <c r="J88" s="6">
        <f t="shared" si="3"/>
        <v>352080</v>
      </c>
      <c r="K88" s="5" t="s">
        <v>23</v>
      </c>
      <c r="L88" s="5">
        <v>352080.0</v>
      </c>
      <c r="M88" s="6">
        <f t="shared" si="4"/>
        <v>3</v>
      </c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1" t="s">
        <v>355</v>
      </c>
      <c r="B89" s="7" t="s">
        <v>356</v>
      </c>
      <c r="C89" s="5" t="s">
        <v>16</v>
      </c>
      <c r="D89" s="5" t="s">
        <v>357</v>
      </c>
      <c r="E89" s="5" t="str">
        <f t="shared" si="1"/>
        <v>Accessories</v>
      </c>
      <c r="F89" s="5">
        <v>8.0</v>
      </c>
      <c r="G89" s="5">
        <v>18452.0</v>
      </c>
      <c r="H89" s="5" t="s">
        <v>29</v>
      </c>
      <c r="I89" s="12" t="str">
        <f t="shared" si="2"/>
        <v>May</v>
      </c>
      <c r="J89" s="6">
        <f t="shared" si="3"/>
        <v>147616</v>
      </c>
      <c r="K89" s="5" t="s">
        <v>23</v>
      </c>
      <c r="L89" s="5">
        <v>147616.0</v>
      </c>
      <c r="M89" s="6">
        <f t="shared" si="4"/>
        <v>5</v>
      </c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1" t="s">
        <v>358</v>
      </c>
      <c r="B90" s="7">
        <v>45448.0</v>
      </c>
      <c r="C90" s="5" t="s">
        <v>19</v>
      </c>
      <c r="D90" s="5" t="s">
        <v>359</v>
      </c>
      <c r="E90" s="5" t="str">
        <f t="shared" si="1"/>
        <v>Accessories</v>
      </c>
      <c r="F90" s="5">
        <v>19.0</v>
      </c>
      <c r="G90" s="5">
        <v>6820.0</v>
      </c>
      <c r="H90" s="5" t="s">
        <v>34</v>
      </c>
      <c r="I90" s="12" t="str">
        <f t="shared" si="2"/>
        <v>May</v>
      </c>
      <c r="J90" s="6">
        <f t="shared" si="3"/>
        <v>129580</v>
      </c>
      <c r="K90" s="5" t="s">
        <v>30</v>
      </c>
      <c r="L90" s="5">
        <v>129580.0</v>
      </c>
      <c r="M90" s="6">
        <f t="shared" si="4"/>
        <v>5</v>
      </c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1" t="s">
        <v>361</v>
      </c>
      <c r="B91" s="7" t="s">
        <v>362</v>
      </c>
      <c r="C91" s="5" t="s">
        <v>16</v>
      </c>
      <c r="D91" s="5" t="s">
        <v>363</v>
      </c>
      <c r="E91" s="5" t="str">
        <f t="shared" si="1"/>
        <v>Laptops</v>
      </c>
      <c r="F91" s="5">
        <v>10.0</v>
      </c>
      <c r="G91" s="5">
        <v>10098.0</v>
      </c>
      <c r="H91" s="5" t="s">
        <v>20</v>
      </c>
      <c r="I91" s="12" t="str">
        <f t="shared" si="2"/>
        <v>Nov</v>
      </c>
      <c r="J91" s="6">
        <f t="shared" si="3"/>
        <v>0</v>
      </c>
      <c r="K91" s="5" t="s">
        <v>55</v>
      </c>
      <c r="L91" s="5">
        <v>100980.0</v>
      </c>
      <c r="M91" s="6">
        <f t="shared" si="4"/>
        <v>11</v>
      </c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1" t="s">
        <v>365</v>
      </c>
      <c r="B92" s="7" t="s">
        <v>366</v>
      </c>
      <c r="C92" s="5" t="s">
        <v>24</v>
      </c>
      <c r="D92" s="5" t="s">
        <v>367</v>
      </c>
      <c r="E92" s="5" t="str">
        <f t="shared" si="1"/>
        <v>Mobiles</v>
      </c>
      <c r="F92" s="5">
        <v>2.0</v>
      </c>
      <c r="G92" s="5">
        <v>18221.0</v>
      </c>
      <c r="H92" s="5" t="s">
        <v>29</v>
      </c>
      <c r="I92" s="12" t="str">
        <f t="shared" si="2"/>
        <v>Nov</v>
      </c>
      <c r="J92" s="6">
        <f t="shared" si="3"/>
        <v>36442</v>
      </c>
      <c r="K92" s="5" t="s">
        <v>75</v>
      </c>
      <c r="L92" s="5">
        <v>36442.0</v>
      </c>
      <c r="M92" s="6">
        <f t="shared" si="4"/>
        <v>11</v>
      </c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1" t="s">
        <v>368</v>
      </c>
      <c r="B93" s="7" t="s">
        <v>369</v>
      </c>
      <c r="C93" s="5" t="s">
        <v>19</v>
      </c>
      <c r="D93" s="5" t="s">
        <v>370</v>
      </c>
      <c r="E93" s="5" t="str">
        <f t="shared" si="1"/>
        <v>Laptops</v>
      </c>
      <c r="F93" s="5">
        <v>13.0</v>
      </c>
      <c r="G93" s="5">
        <v>42310.0</v>
      </c>
      <c r="H93" s="5" t="s">
        <v>20</v>
      </c>
      <c r="I93" s="12" t="str">
        <f t="shared" si="2"/>
        <v>Sep</v>
      </c>
      <c r="J93" s="6">
        <f t="shared" si="3"/>
        <v>0</v>
      </c>
      <c r="K93" s="5" t="s">
        <v>43</v>
      </c>
      <c r="L93" s="5">
        <v>550030.0</v>
      </c>
      <c r="M93" s="6">
        <f t="shared" si="4"/>
        <v>9</v>
      </c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1" t="s">
        <v>373</v>
      </c>
      <c r="B94" s="7">
        <v>45630.0</v>
      </c>
      <c r="C94" s="5" t="s">
        <v>16</v>
      </c>
      <c r="D94" s="5" t="s">
        <v>374</v>
      </c>
      <c r="E94" s="5" t="str">
        <f t="shared" si="1"/>
        <v>Accessories</v>
      </c>
      <c r="F94" s="5">
        <v>13.0</v>
      </c>
      <c r="G94" s="5">
        <v>46844.0</v>
      </c>
      <c r="H94" s="5" t="s">
        <v>20</v>
      </c>
      <c r="I94" s="12" t="str">
        <f t="shared" si="2"/>
        <v>Apr</v>
      </c>
      <c r="J94" s="6">
        <f t="shared" si="3"/>
        <v>0</v>
      </c>
      <c r="K94" s="5" t="s">
        <v>23</v>
      </c>
      <c r="L94" s="5">
        <v>608972.0</v>
      </c>
      <c r="M94" s="6">
        <f t="shared" si="4"/>
        <v>4</v>
      </c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1" t="s">
        <v>375</v>
      </c>
      <c r="B95" s="7" t="s">
        <v>376</v>
      </c>
      <c r="C95" s="5" t="s">
        <v>22</v>
      </c>
      <c r="D95" s="5" t="s">
        <v>347</v>
      </c>
      <c r="E95" s="5" t="str">
        <f t="shared" si="1"/>
        <v>Accessories</v>
      </c>
      <c r="F95" s="5">
        <v>5.0</v>
      </c>
      <c r="G95" s="5">
        <v>60595.0</v>
      </c>
      <c r="H95" s="5" t="s">
        <v>29</v>
      </c>
      <c r="I95" s="12" t="str">
        <f t="shared" si="2"/>
        <v>Jan</v>
      </c>
      <c r="J95" s="6">
        <f t="shared" si="3"/>
        <v>302975</v>
      </c>
      <c r="K95" s="5" t="s">
        <v>30</v>
      </c>
      <c r="L95" s="5">
        <v>302975.0</v>
      </c>
      <c r="M95" s="6">
        <f t="shared" si="4"/>
        <v>1</v>
      </c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1" t="s">
        <v>377</v>
      </c>
      <c r="B96" s="7">
        <v>45540.0</v>
      </c>
      <c r="C96" s="5" t="s">
        <v>16</v>
      </c>
      <c r="D96" s="5" t="s">
        <v>378</v>
      </c>
      <c r="E96" s="5" t="str">
        <f t="shared" si="1"/>
        <v>Laptops</v>
      </c>
      <c r="F96" s="5">
        <v>9.0</v>
      </c>
      <c r="G96" s="5">
        <v>25211.0</v>
      </c>
      <c r="H96" s="5" t="s">
        <v>34</v>
      </c>
      <c r="I96" s="12" t="str">
        <f t="shared" si="2"/>
        <v>May</v>
      </c>
      <c r="J96" s="6">
        <f t="shared" si="3"/>
        <v>226899</v>
      </c>
      <c r="K96" s="5" t="s">
        <v>55</v>
      </c>
      <c r="L96" s="5">
        <v>226899.0</v>
      </c>
      <c r="M96" s="6">
        <f t="shared" si="4"/>
        <v>5</v>
      </c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1" t="s">
        <v>380</v>
      </c>
      <c r="B97" s="7" t="s">
        <v>216</v>
      </c>
      <c r="C97" s="5" t="s">
        <v>24</v>
      </c>
      <c r="D97" s="5" t="s">
        <v>314</v>
      </c>
      <c r="E97" s="5" t="str">
        <f t="shared" si="1"/>
        <v>Accessories</v>
      </c>
      <c r="F97" s="5">
        <v>7.0</v>
      </c>
      <c r="G97" s="5">
        <v>52954.0</v>
      </c>
      <c r="H97" s="5" t="s">
        <v>29</v>
      </c>
      <c r="I97" s="12" t="str">
        <f t="shared" si="2"/>
        <v>Aug</v>
      </c>
      <c r="J97" s="6">
        <f t="shared" si="3"/>
        <v>370678</v>
      </c>
      <c r="K97" s="5" t="s">
        <v>23</v>
      </c>
      <c r="L97" s="5">
        <v>370678.0</v>
      </c>
      <c r="M97" s="6">
        <f t="shared" si="4"/>
        <v>8</v>
      </c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1" t="s">
        <v>382</v>
      </c>
      <c r="B98" s="7">
        <v>45636.0</v>
      </c>
      <c r="C98" s="5" t="s">
        <v>19</v>
      </c>
      <c r="D98" s="5" t="s">
        <v>383</v>
      </c>
      <c r="E98" s="5" t="str">
        <f t="shared" si="1"/>
        <v>Accessories</v>
      </c>
      <c r="F98" s="5">
        <v>13.0</v>
      </c>
      <c r="G98" s="5">
        <v>1453.0</v>
      </c>
      <c r="H98" s="5" t="s">
        <v>34</v>
      </c>
      <c r="I98" s="12" t="str">
        <f t="shared" si="2"/>
        <v>Oct</v>
      </c>
      <c r="J98" s="6">
        <f t="shared" si="3"/>
        <v>18889</v>
      </c>
      <c r="K98" s="5" t="s">
        <v>85</v>
      </c>
      <c r="L98" s="5">
        <v>18889.0</v>
      </c>
      <c r="M98" s="6">
        <f t="shared" si="4"/>
        <v>10</v>
      </c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1" t="s">
        <v>384</v>
      </c>
      <c r="B99" s="7" t="s">
        <v>386</v>
      </c>
      <c r="C99" s="5" t="s">
        <v>22</v>
      </c>
      <c r="D99" s="5" t="s">
        <v>330</v>
      </c>
      <c r="E99" s="5" t="str">
        <f t="shared" si="1"/>
        <v>Mobiles</v>
      </c>
      <c r="F99" s="5">
        <v>7.0</v>
      </c>
      <c r="G99" s="5">
        <v>49538.0</v>
      </c>
      <c r="H99" s="5" t="s">
        <v>29</v>
      </c>
      <c r="I99" s="12" t="str">
        <f t="shared" si="2"/>
        <v>Jul</v>
      </c>
      <c r="J99" s="6">
        <f t="shared" si="3"/>
        <v>346766</v>
      </c>
      <c r="K99" s="5" t="s">
        <v>37</v>
      </c>
      <c r="L99" s="5">
        <v>346766.0</v>
      </c>
      <c r="M99" s="6">
        <f t="shared" si="4"/>
        <v>7</v>
      </c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1" t="s">
        <v>387</v>
      </c>
      <c r="B100" s="7">
        <v>45628.0</v>
      </c>
      <c r="C100" s="5" t="s">
        <v>16</v>
      </c>
      <c r="D100" s="5" t="s">
        <v>285</v>
      </c>
      <c r="E100" s="5" t="str">
        <f t="shared" si="1"/>
        <v>Laptops</v>
      </c>
      <c r="F100" s="5">
        <v>7.0</v>
      </c>
      <c r="G100" s="5">
        <v>65875.0</v>
      </c>
      <c r="H100" s="5" t="s">
        <v>34</v>
      </c>
      <c r="I100" s="12" t="str">
        <f t="shared" si="2"/>
        <v>Feb</v>
      </c>
      <c r="J100" s="6">
        <f t="shared" si="3"/>
        <v>461125</v>
      </c>
      <c r="K100" s="5" t="s">
        <v>55</v>
      </c>
      <c r="L100" s="5">
        <v>461125.0</v>
      </c>
      <c r="M100" s="6">
        <f t="shared" si="4"/>
        <v>2</v>
      </c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1" t="s">
        <v>390</v>
      </c>
      <c r="B101" s="7" t="s">
        <v>391</v>
      </c>
      <c r="C101" s="5" t="s">
        <v>22</v>
      </c>
      <c r="D101" s="5" t="s">
        <v>392</v>
      </c>
      <c r="E101" s="5" t="str">
        <f t="shared" si="1"/>
        <v>Mobiles</v>
      </c>
      <c r="F101" s="5">
        <v>3.0</v>
      </c>
      <c r="G101" s="5">
        <v>23623.0</v>
      </c>
      <c r="H101" s="5" t="s">
        <v>29</v>
      </c>
      <c r="I101" s="12" t="str">
        <f t="shared" si="2"/>
        <v>Nov</v>
      </c>
      <c r="J101" s="6">
        <f t="shared" si="3"/>
        <v>70869</v>
      </c>
      <c r="K101" s="5" t="s">
        <v>37</v>
      </c>
      <c r="L101" s="5">
        <v>70869.0</v>
      </c>
      <c r="M101" s="6">
        <f t="shared" si="4"/>
        <v>11</v>
      </c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1" t="s">
        <v>394</v>
      </c>
      <c r="B102" s="7" t="s">
        <v>107</v>
      </c>
      <c r="C102" s="5" t="s">
        <v>16</v>
      </c>
      <c r="D102" s="5" t="s">
        <v>395</v>
      </c>
      <c r="E102" s="5" t="str">
        <f t="shared" si="1"/>
        <v>Mobiles</v>
      </c>
      <c r="F102" s="5">
        <v>20.0</v>
      </c>
      <c r="G102" s="5">
        <v>30342.0</v>
      </c>
      <c r="H102" s="5" t="s">
        <v>20</v>
      </c>
      <c r="I102" s="12" t="str">
        <f t="shared" si="2"/>
        <v>Nov</v>
      </c>
      <c r="J102" s="6">
        <f t="shared" si="3"/>
        <v>0</v>
      </c>
      <c r="K102" s="5" t="s">
        <v>37</v>
      </c>
      <c r="L102" s="5">
        <v>606840.0</v>
      </c>
      <c r="M102" s="6">
        <f t="shared" si="4"/>
        <v>11</v>
      </c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1" t="s">
        <v>396</v>
      </c>
      <c r="B103" s="7" t="s">
        <v>397</v>
      </c>
      <c r="C103" s="5" t="s">
        <v>24</v>
      </c>
      <c r="D103" s="5" t="s">
        <v>398</v>
      </c>
      <c r="E103" s="5" t="str">
        <f t="shared" si="1"/>
        <v>Laptops</v>
      </c>
      <c r="F103" s="5">
        <v>10.0</v>
      </c>
      <c r="G103" s="5">
        <v>17841.0</v>
      </c>
      <c r="H103" s="5" t="s">
        <v>34</v>
      </c>
      <c r="I103" s="12" t="str">
        <f t="shared" si="2"/>
        <v>Feb</v>
      </c>
      <c r="J103" s="6">
        <f t="shared" si="3"/>
        <v>178410</v>
      </c>
      <c r="K103" s="5" t="s">
        <v>55</v>
      </c>
      <c r="L103" s="5">
        <v>178410.0</v>
      </c>
      <c r="M103" s="6">
        <f t="shared" si="4"/>
        <v>2</v>
      </c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1" t="s">
        <v>399</v>
      </c>
      <c r="B104" s="7" t="s">
        <v>400</v>
      </c>
      <c r="C104" s="5" t="s">
        <v>16</v>
      </c>
      <c r="D104" s="5" t="s">
        <v>401</v>
      </c>
      <c r="E104" s="5" t="str">
        <f t="shared" si="1"/>
        <v>Accessories</v>
      </c>
      <c r="F104" s="5">
        <v>10.0</v>
      </c>
      <c r="G104" s="5">
        <v>31614.0</v>
      </c>
      <c r="H104" s="5" t="s">
        <v>20</v>
      </c>
      <c r="I104" s="12" t="str">
        <f t="shared" si="2"/>
        <v>Sep</v>
      </c>
      <c r="J104" s="6">
        <f t="shared" si="3"/>
        <v>0</v>
      </c>
      <c r="K104" s="5" t="s">
        <v>23</v>
      </c>
      <c r="L104" s="5">
        <v>316140.0</v>
      </c>
      <c r="M104" s="6">
        <f t="shared" si="4"/>
        <v>9</v>
      </c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1" t="s">
        <v>402</v>
      </c>
      <c r="B105" s="7" t="s">
        <v>403</v>
      </c>
      <c r="C105" s="5" t="s">
        <v>19</v>
      </c>
      <c r="D105" s="5" t="s">
        <v>404</v>
      </c>
      <c r="E105" s="5" t="str">
        <f t="shared" si="1"/>
        <v>Accessories</v>
      </c>
      <c r="F105" s="5">
        <v>1.0</v>
      </c>
      <c r="G105" s="5">
        <v>67671.0</v>
      </c>
      <c r="H105" s="5" t="s">
        <v>29</v>
      </c>
      <c r="I105" s="12" t="str">
        <f t="shared" si="2"/>
        <v>Jun</v>
      </c>
      <c r="J105" s="6">
        <f t="shared" si="3"/>
        <v>67671</v>
      </c>
      <c r="K105" s="5" t="s">
        <v>30</v>
      </c>
      <c r="L105" s="5">
        <v>67671.0</v>
      </c>
      <c r="M105" s="6">
        <f t="shared" si="4"/>
        <v>6</v>
      </c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1" t="s">
        <v>406</v>
      </c>
      <c r="B106" s="7">
        <v>45452.0</v>
      </c>
      <c r="C106" s="5" t="s">
        <v>22</v>
      </c>
      <c r="D106" s="5" t="s">
        <v>408</v>
      </c>
      <c r="E106" s="5" t="str">
        <f t="shared" si="1"/>
        <v>Accessories</v>
      </c>
      <c r="F106" s="5">
        <v>11.0</v>
      </c>
      <c r="G106" s="5">
        <v>20544.0</v>
      </c>
      <c r="H106" s="5" t="s">
        <v>20</v>
      </c>
      <c r="I106" s="12" t="str">
        <f t="shared" si="2"/>
        <v>Sep</v>
      </c>
      <c r="J106" s="6">
        <f t="shared" si="3"/>
        <v>0</v>
      </c>
      <c r="K106" s="5" t="s">
        <v>23</v>
      </c>
      <c r="L106" s="5">
        <v>225984.0</v>
      </c>
      <c r="M106" s="6">
        <f t="shared" si="4"/>
        <v>9</v>
      </c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1" t="s">
        <v>409</v>
      </c>
      <c r="B107" s="7" t="s">
        <v>410</v>
      </c>
      <c r="C107" s="5" t="s">
        <v>24</v>
      </c>
      <c r="D107" s="5" t="s">
        <v>73</v>
      </c>
      <c r="E107" s="5" t="str">
        <f t="shared" si="1"/>
        <v>Mobiles</v>
      </c>
      <c r="F107" s="5">
        <v>19.0</v>
      </c>
      <c r="G107" s="5">
        <v>65015.0</v>
      </c>
      <c r="H107" s="5" t="s">
        <v>34</v>
      </c>
      <c r="I107" s="12" t="str">
        <f t="shared" si="2"/>
        <v>Jul</v>
      </c>
      <c r="J107" s="6">
        <f t="shared" si="3"/>
        <v>1235285</v>
      </c>
      <c r="K107" s="5" t="s">
        <v>75</v>
      </c>
      <c r="L107" s="5">
        <v>1235285.0</v>
      </c>
      <c r="M107" s="6">
        <f t="shared" si="4"/>
        <v>7</v>
      </c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1" t="s">
        <v>412</v>
      </c>
      <c r="B108" s="7" t="s">
        <v>413</v>
      </c>
      <c r="C108" s="5" t="s">
        <v>16</v>
      </c>
      <c r="D108" s="5" t="s">
        <v>414</v>
      </c>
      <c r="E108" s="5" t="str">
        <f t="shared" si="1"/>
        <v>Accessories</v>
      </c>
      <c r="F108" s="5">
        <v>17.0</v>
      </c>
      <c r="G108" s="5">
        <v>69263.0</v>
      </c>
      <c r="H108" s="5" t="s">
        <v>20</v>
      </c>
      <c r="I108" s="12" t="str">
        <f t="shared" si="2"/>
        <v>Feb</v>
      </c>
      <c r="J108" s="6">
        <f t="shared" si="3"/>
        <v>0</v>
      </c>
      <c r="K108" s="5" t="s">
        <v>30</v>
      </c>
      <c r="L108" s="5">
        <v>1177471.0</v>
      </c>
      <c r="M108" s="6">
        <f t="shared" si="4"/>
        <v>2</v>
      </c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1" t="s">
        <v>416</v>
      </c>
      <c r="B109" s="7">
        <v>45634.0</v>
      </c>
      <c r="C109" s="5" t="s">
        <v>19</v>
      </c>
      <c r="D109" s="5" t="s">
        <v>173</v>
      </c>
      <c r="E109" s="5" t="str">
        <f t="shared" si="1"/>
        <v>Accessories</v>
      </c>
      <c r="F109" s="5">
        <v>13.0</v>
      </c>
      <c r="G109" s="5">
        <v>63506.0</v>
      </c>
      <c r="H109" s="5" t="s">
        <v>29</v>
      </c>
      <c r="I109" s="12" t="str">
        <f t="shared" si="2"/>
        <v>Aug</v>
      </c>
      <c r="J109" s="6">
        <f t="shared" si="3"/>
        <v>825578</v>
      </c>
      <c r="K109" s="5" t="s">
        <v>85</v>
      </c>
      <c r="L109" s="5">
        <v>825578.0</v>
      </c>
      <c r="M109" s="6">
        <f t="shared" si="4"/>
        <v>8</v>
      </c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1" t="s">
        <v>418</v>
      </c>
      <c r="B110" s="7">
        <v>45422.0</v>
      </c>
      <c r="C110" s="5" t="s">
        <v>24</v>
      </c>
      <c r="D110" s="5" t="s">
        <v>419</v>
      </c>
      <c r="E110" s="5" t="str">
        <f t="shared" si="1"/>
        <v>Mobiles</v>
      </c>
      <c r="F110" s="5">
        <v>9.0</v>
      </c>
      <c r="G110" s="5">
        <v>15602.0</v>
      </c>
      <c r="H110" s="5" t="s">
        <v>29</v>
      </c>
      <c r="I110" s="12" t="str">
        <f t="shared" si="2"/>
        <v>Oct</v>
      </c>
      <c r="J110" s="6">
        <f t="shared" si="3"/>
        <v>140418</v>
      </c>
      <c r="K110" s="5" t="s">
        <v>37</v>
      </c>
      <c r="L110" s="5">
        <v>140418.0</v>
      </c>
      <c r="M110" s="6">
        <f t="shared" si="4"/>
        <v>10</v>
      </c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1" t="s">
        <v>421</v>
      </c>
      <c r="B111" s="7">
        <v>45419.0</v>
      </c>
      <c r="C111" s="5" t="s">
        <v>16</v>
      </c>
      <c r="D111" s="5" t="s">
        <v>422</v>
      </c>
      <c r="E111" s="5" t="str">
        <f t="shared" si="1"/>
        <v>Mobiles</v>
      </c>
      <c r="F111" s="5">
        <v>2.0</v>
      </c>
      <c r="G111" s="5">
        <v>37663.0</v>
      </c>
      <c r="H111" s="5" t="s">
        <v>20</v>
      </c>
      <c r="I111" s="12" t="str">
        <f t="shared" si="2"/>
        <v>Jul</v>
      </c>
      <c r="J111" s="6">
        <f t="shared" si="3"/>
        <v>0</v>
      </c>
      <c r="K111" s="5" t="s">
        <v>37</v>
      </c>
      <c r="L111" s="5">
        <v>75326.0</v>
      </c>
      <c r="M111" s="6">
        <f t="shared" si="4"/>
        <v>7</v>
      </c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1" t="s">
        <v>423</v>
      </c>
      <c r="B112" s="7">
        <v>45567.0</v>
      </c>
      <c r="C112" s="5" t="s">
        <v>24</v>
      </c>
      <c r="D112" s="5" t="s">
        <v>169</v>
      </c>
      <c r="E112" s="5" t="str">
        <f t="shared" si="1"/>
        <v>Accessories</v>
      </c>
      <c r="F112" s="5">
        <v>11.0</v>
      </c>
      <c r="G112" s="5">
        <v>75516.0</v>
      </c>
      <c r="H112" s="5" t="s">
        <v>29</v>
      </c>
      <c r="I112" s="12" t="str">
        <f t="shared" si="2"/>
        <v>Feb</v>
      </c>
      <c r="J112" s="6">
        <f t="shared" si="3"/>
        <v>830676</v>
      </c>
      <c r="K112" s="5" t="s">
        <v>23</v>
      </c>
      <c r="L112" s="5">
        <v>830676.0</v>
      </c>
      <c r="M112" s="6">
        <f t="shared" si="4"/>
        <v>2</v>
      </c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1" t="s">
        <v>425</v>
      </c>
      <c r="B113" s="7">
        <v>45539.0</v>
      </c>
      <c r="C113" s="5" t="s">
        <v>24</v>
      </c>
      <c r="D113" s="5" t="s">
        <v>351</v>
      </c>
      <c r="E113" s="5" t="str">
        <f t="shared" si="1"/>
        <v>Mobiles</v>
      </c>
      <c r="F113" s="5">
        <v>13.0</v>
      </c>
      <c r="G113" s="5">
        <v>23118.0</v>
      </c>
      <c r="H113" s="5" t="s">
        <v>29</v>
      </c>
      <c r="I113" s="12" t="str">
        <f t="shared" si="2"/>
        <v>Apr</v>
      </c>
      <c r="J113" s="6">
        <f t="shared" si="3"/>
        <v>300534</v>
      </c>
      <c r="K113" s="5" t="s">
        <v>37</v>
      </c>
      <c r="L113" s="5">
        <v>300534.0</v>
      </c>
      <c r="M113" s="6">
        <f t="shared" si="4"/>
        <v>4</v>
      </c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1" t="s">
        <v>426</v>
      </c>
      <c r="B114" s="7" t="s">
        <v>427</v>
      </c>
      <c r="C114" s="5" t="s">
        <v>19</v>
      </c>
      <c r="D114" s="5" t="s">
        <v>428</v>
      </c>
      <c r="E114" s="5" t="str">
        <f t="shared" si="1"/>
        <v>Accessories</v>
      </c>
      <c r="F114" s="5">
        <v>16.0</v>
      </c>
      <c r="G114" s="5">
        <v>43273.0</v>
      </c>
      <c r="H114" s="5" t="s">
        <v>20</v>
      </c>
      <c r="I114" s="12" t="str">
        <f t="shared" si="2"/>
        <v>Mar</v>
      </c>
      <c r="J114" s="6">
        <f t="shared" si="3"/>
        <v>0</v>
      </c>
      <c r="K114" s="5" t="s">
        <v>30</v>
      </c>
      <c r="L114" s="5">
        <v>692368.0</v>
      </c>
      <c r="M114" s="6">
        <f t="shared" si="4"/>
        <v>3</v>
      </c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1" t="s">
        <v>429</v>
      </c>
      <c r="B115" s="7" t="s">
        <v>430</v>
      </c>
      <c r="C115" s="5" t="s">
        <v>16</v>
      </c>
      <c r="D115" s="5" t="s">
        <v>411</v>
      </c>
      <c r="E115" s="5" t="str">
        <f t="shared" si="1"/>
        <v>Mobiles</v>
      </c>
      <c r="F115" s="5">
        <v>9.0</v>
      </c>
      <c r="G115" s="5">
        <v>21499.0</v>
      </c>
      <c r="H115" s="5" t="s">
        <v>29</v>
      </c>
      <c r="I115" s="12" t="str">
        <f t="shared" si="2"/>
        <v>Jan</v>
      </c>
      <c r="J115" s="6">
        <f t="shared" si="3"/>
        <v>193491</v>
      </c>
      <c r="K115" s="5" t="s">
        <v>37</v>
      </c>
      <c r="L115" s="5">
        <v>193491.0</v>
      </c>
      <c r="M115" s="6">
        <f t="shared" si="4"/>
        <v>1</v>
      </c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1" t="s">
        <v>432</v>
      </c>
      <c r="B116" s="7" t="s">
        <v>433</v>
      </c>
      <c r="C116" s="5" t="s">
        <v>24</v>
      </c>
      <c r="D116" s="5" t="s">
        <v>434</v>
      </c>
      <c r="E116" s="5" t="str">
        <f t="shared" si="1"/>
        <v>Accessories</v>
      </c>
      <c r="F116" s="5">
        <v>2.0</v>
      </c>
      <c r="G116" s="5">
        <v>31304.0</v>
      </c>
      <c r="H116" s="5" t="s">
        <v>34</v>
      </c>
      <c r="I116" s="12" t="str">
        <f t="shared" si="2"/>
        <v>May</v>
      </c>
      <c r="J116" s="6">
        <f t="shared" si="3"/>
        <v>62608</v>
      </c>
      <c r="K116" s="5" t="s">
        <v>85</v>
      </c>
      <c r="L116" s="5">
        <v>62608.0</v>
      </c>
      <c r="M116" s="6">
        <f t="shared" si="4"/>
        <v>5</v>
      </c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1" t="s">
        <v>436</v>
      </c>
      <c r="B117" s="7">
        <v>45597.0</v>
      </c>
      <c r="C117" s="5" t="s">
        <v>16</v>
      </c>
      <c r="D117" s="5" t="s">
        <v>262</v>
      </c>
      <c r="E117" s="5" t="str">
        <f t="shared" si="1"/>
        <v>Mobiles</v>
      </c>
      <c r="F117" s="5">
        <v>20.0</v>
      </c>
      <c r="G117" s="5">
        <v>26828.0</v>
      </c>
      <c r="H117" s="5" t="s">
        <v>29</v>
      </c>
      <c r="I117" s="12" t="str">
        <f t="shared" si="2"/>
        <v>Jan</v>
      </c>
      <c r="J117" s="6">
        <f t="shared" si="3"/>
        <v>536560</v>
      </c>
      <c r="K117" s="5" t="s">
        <v>75</v>
      </c>
      <c r="L117" s="5">
        <v>536560.0</v>
      </c>
      <c r="M117" s="6">
        <f t="shared" si="4"/>
        <v>1</v>
      </c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1" t="s">
        <v>439</v>
      </c>
      <c r="B118" s="7">
        <v>45424.0</v>
      </c>
      <c r="C118" s="5" t="s">
        <v>22</v>
      </c>
      <c r="D118" s="5" t="s">
        <v>440</v>
      </c>
      <c r="E118" s="5" t="str">
        <f t="shared" si="1"/>
        <v>Accessories</v>
      </c>
      <c r="F118" s="5">
        <v>6.0</v>
      </c>
      <c r="G118" s="5">
        <v>62995.0</v>
      </c>
      <c r="H118" s="5" t="s">
        <v>20</v>
      </c>
      <c r="I118" s="12" t="str">
        <f t="shared" si="2"/>
        <v>Dec</v>
      </c>
      <c r="J118" s="6">
        <f t="shared" si="3"/>
        <v>0</v>
      </c>
      <c r="K118" s="5" t="s">
        <v>23</v>
      </c>
      <c r="L118" s="5">
        <v>377970.0</v>
      </c>
      <c r="M118" s="6">
        <f t="shared" si="4"/>
        <v>12</v>
      </c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1" t="s">
        <v>441</v>
      </c>
      <c r="B119" s="7">
        <v>45606.0</v>
      </c>
      <c r="C119" s="5" t="s">
        <v>22</v>
      </c>
      <c r="D119" s="5" t="s">
        <v>258</v>
      </c>
      <c r="E119" s="5" t="str">
        <f t="shared" si="1"/>
        <v>Mobiles</v>
      </c>
      <c r="F119" s="5">
        <v>11.0</v>
      </c>
      <c r="G119" s="5">
        <v>49090.0</v>
      </c>
      <c r="H119" s="5" t="s">
        <v>34</v>
      </c>
      <c r="I119" s="12" t="str">
        <f t="shared" si="2"/>
        <v>Oct</v>
      </c>
      <c r="J119" s="6">
        <f t="shared" si="3"/>
        <v>539990</v>
      </c>
      <c r="K119" s="5" t="s">
        <v>37</v>
      </c>
      <c r="L119" s="5">
        <v>539990.0</v>
      </c>
      <c r="M119" s="6">
        <f t="shared" si="4"/>
        <v>10</v>
      </c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1" t="s">
        <v>443</v>
      </c>
      <c r="B120" s="7" t="s">
        <v>444</v>
      </c>
      <c r="C120" s="5" t="s">
        <v>19</v>
      </c>
      <c r="D120" s="5" t="s">
        <v>117</v>
      </c>
      <c r="E120" s="5" t="str">
        <f t="shared" si="1"/>
        <v>Laptops</v>
      </c>
      <c r="F120" s="5">
        <v>13.0</v>
      </c>
      <c r="G120" s="5">
        <v>78384.0</v>
      </c>
      <c r="H120" s="5" t="s">
        <v>29</v>
      </c>
      <c r="I120" s="12" t="str">
        <f t="shared" si="2"/>
        <v>Jan</v>
      </c>
      <c r="J120" s="6">
        <f t="shared" si="3"/>
        <v>1018992</v>
      </c>
      <c r="K120" s="5" t="s">
        <v>43</v>
      </c>
      <c r="L120" s="5">
        <v>1018992.0</v>
      </c>
      <c r="M120" s="6">
        <f t="shared" si="4"/>
        <v>1</v>
      </c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1" t="s">
        <v>446</v>
      </c>
      <c r="B121" s="7" t="s">
        <v>391</v>
      </c>
      <c r="C121" s="5" t="s">
        <v>16</v>
      </c>
      <c r="D121" s="5" t="s">
        <v>40</v>
      </c>
      <c r="E121" s="5" t="str">
        <f t="shared" si="1"/>
        <v>Accessories</v>
      </c>
      <c r="F121" s="5">
        <v>20.0</v>
      </c>
      <c r="G121" s="5">
        <v>79966.0</v>
      </c>
      <c r="H121" s="5" t="s">
        <v>34</v>
      </c>
      <c r="I121" s="12" t="str">
        <f t="shared" si="2"/>
        <v>Nov</v>
      </c>
      <c r="J121" s="6">
        <f t="shared" si="3"/>
        <v>1599320</v>
      </c>
      <c r="K121" s="5" t="s">
        <v>85</v>
      </c>
      <c r="L121" s="5">
        <v>1599320.0</v>
      </c>
      <c r="M121" s="6">
        <f t="shared" si="4"/>
        <v>11</v>
      </c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1" t="s">
        <v>448</v>
      </c>
      <c r="B122" s="7">
        <v>45358.0</v>
      </c>
      <c r="C122" s="5" t="s">
        <v>16</v>
      </c>
      <c r="D122" s="5" t="s">
        <v>449</v>
      </c>
      <c r="E122" s="5" t="str">
        <f t="shared" si="1"/>
        <v>Accessories</v>
      </c>
      <c r="F122" s="5">
        <v>13.0</v>
      </c>
      <c r="G122" s="5">
        <v>61863.0</v>
      </c>
      <c r="H122" s="5" t="s">
        <v>20</v>
      </c>
      <c r="I122" s="12" t="str">
        <f t="shared" si="2"/>
        <v>Jul</v>
      </c>
      <c r="J122" s="6">
        <f t="shared" si="3"/>
        <v>0</v>
      </c>
      <c r="K122" s="5" t="s">
        <v>85</v>
      </c>
      <c r="L122" s="5">
        <v>804219.0</v>
      </c>
      <c r="M122" s="6">
        <f t="shared" si="4"/>
        <v>7</v>
      </c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1" t="s">
        <v>452</v>
      </c>
      <c r="B123" s="7" t="s">
        <v>453</v>
      </c>
      <c r="C123" s="5" t="s">
        <v>24</v>
      </c>
      <c r="D123" s="5" t="s">
        <v>239</v>
      </c>
      <c r="E123" s="5" t="str">
        <f t="shared" si="1"/>
        <v>Accessories</v>
      </c>
      <c r="F123" s="5">
        <v>20.0</v>
      </c>
      <c r="G123" s="5">
        <v>28198.0</v>
      </c>
      <c r="H123" s="5" t="s">
        <v>29</v>
      </c>
      <c r="I123" s="12" t="str">
        <f t="shared" si="2"/>
        <v>Sep</v>
      </c>
      <c r="J123" s="6">
        <f t="shared" si="3"/>
        <v>563960</v>
      </c>
      <c r="K123" s="5" t="s">
        <v>23</v>
      </c>
      <c r="L123" s="5">
        <v>563960.0</v>
      </c>
      <c r="M123" s="6">
        <f t="shared" si="4"/>
        <v>9</v>
      </c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1" t="s">
        <v>455</v>
      </c>
      <c r="B124" s="7" t="s">
        <v>107</v>
      </c>
      <c r="C124" s="5" t="s">
        <v>22</v>
      </c>
      <c r="D124" s="5" t="s">
        <v>456</v>
      </c>
      <c r="E124" s="5" t="str">
        <f t="shared" si="1"/>
        <v>Laptops</v>
      </c>
      <c r="F124" s="5">
        <v>11.0</v>
      </c>
      <c r="G124" s="5">
        <v>8014.0</v>
      </c>
      <c r="H124" s="5" t="s">
        <v>34</v>
      </c>
      <c r="I124" s="12" t="str">
        <f t="shared" si="2"/>
        <v>Nov</v>
      </c>
      <c r="J124" s="6">
        <f t="shared" si="3"/>
        <v>88154</v>
      </c>
      <c r="K124" s="5" t="s">
        <v>43</v>
      </c>
      <c r="L124" s="5">
        <v>88154.0</v>
      </c>
      <c r="M124" s="6">
        <f t="shared" si="4"/>
        <v>11</v>
      </c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1" t="s">
        <v>457</v>
      </c>
      <c r="B125" s="7" t="s">
        <v>458</v>
      </c>
      <c r="C125" s="5" t="s">
        <v>19</v>
      </c>
      <c r="D125" s="5" t="s">
        <v>54</v>
      </c>
      <c r="E125" s="5" t="str">
        <f t="shared" si="1"/>
        <v>Mobiles</v>
      </c>
      <c r="F125" s="5">
        <v>17.0</v>
      </c>
      <c r="G125" s="5">
        <v>75327.0</v>
      </c>
      <c r="H125" s="5" t="s">
        <v>29</v>
      </c>
      <c r="I125" s="12" t="str">
        <f t="shared" si="2"/>
        <v>Dec</v>
      </c>
      <c r="J125" s="6">
        <f t="shared" si="3"/>
        <v>1280559</v>
      </c>
      <c r="K125" s="5" t="s">
        <v>37</v>
      </c>
      <c r="L125" s="5">
        <v>1280559.0</v>
      </c>
      <c r="M125" s="6">
        <f t="shared" si="4"/>
        <v>12</v>
      </c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1" t="s">
        <v>461</v>
      </c>
      <c r="B126" s="7" t="s">
        <v>462</v>
      </c>
      <c r="C126" s="5" t="s">
        <v>22</v>
      </c>
      <c r="D126" s="5" t="s">
        <v>156</v>
      </c>
      <c r="E126" s="5" t="str">
        <f t="shared" si="1"/>
        <v>Mobiles</v>
      </c>
      <c r="F126" s="5">
        <v>15.0</v>
      </c>
      <c r="G126" s="5">
        <v>58189.0</v>
      </c>
      <c r="H126" s="5" t="s">
        <v>34</v>
      </c>
      <c r="I126" s="12" t="str">
        <f t="shared" si="2"/>
        <v>Feb</v>
      </c>
      <c r="J126" s="6">
        <f t="shared" si="3"/>
        <v>872835</v>
      </c>
      <c r="K126" s="5" t="s">
        <v>75</v>
      </c>
      <c r="L126" s="5">
        <v>872835.0</v>
      </c>
      <c r="M126" s="6">
        <f t="shared" si="4"/>
        <v>2</v>
      </c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1" t="s">
        <v>464</v>
      </c>
      <c r="B127" s="7" t="s">
        <v>353</v>
      </c>
      <c r="C127" s="5" t="s">
        <v>24</v>
      </c>
      <c r="D127" s="5" t="s">
        <v>465</v>
      </c>
      <c r="E127" s="5" t="str">
        <f t="shared" si="1"/>
        <v>Mobiles</v>
      </c>
      <c r="F127" s="5">
        <v>16.0</v>
      </c>
      <c r="G127" s="5">
        <v>10840.0</v>
      </c>
      <c r="H127" s="5" t="s">
        <v>20</v>
      </c>
      <c r="I127" s="12" t="str">
        <f t="shared" si="2"/>
        <v>Mar</v>
      </c>
      <c r="J127" s="6">
        <f t="shared" si="3"/>
        <v>0</v>
      </c>
      <c r="K127" s="5" t="s">
        <v>37</v>
      </c>
      <c r="L127" s="5">
        <v>173440.0</v>
      </c>
      <c r="M127" s="6">
        <f t="shared" si="4"/>
        <v>3</v>
      </c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1" t="s">
        <v>467</v>
      </c>
      <c r="B128" s="7">
        <v>45638.0</v>
      </c>
      <c r="C128" s="5" t="s">
        <v>24</v>
      </c>
      <c r="D128" s="5" t="s">
        <v>293</v>
      </c>
      <c r="E128" s="5" t="str">
        <f t="shared" si="1"/>
        <v>Accessories</v>
      </c>
      <c r="F128" s="5">
        <v>18.0</v>
      </c>
      <c r="G128" s="5">
        <v>23233.0</v>
      </c>
      <c r="H128" s="5" t="s">
        <v>29</v>
      </c>
      <c r="I128" s="12" t="str">
        <f t="shared" si="2"/>
        <v>Dec</v>
      </c>
      <c r="J128" s="6">
        <f t="shared" si="3"/>
        <v>418194</v>
      </c>
      <c r="K128" s="5" t="s">
        <v>23</v>
      </c>
      <c r="L128" s="5">
        <v>418194.0</v>
      </c>
      <c r="M128" s="6">
        <f t="shared" si="4"/>
        <v>12</v>
      </c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1" t="s">
        <v>470</v>
      </c>
      <c r="B129" s="7">
        <v>45329.0</v>
      </c>
      <c r="C129" s="5" t="s">
        <v>16</v>
      </c>
      <c r="D129" s="5" t="s">
        <v>420</v>
      </c>
      <c r="E129" s="5" t="str">
        <f t="shared" si="1"/>
        <v>Laptops</v>
      </c>
      <c r="F129" s="5">
        <v>9.0</v>
      </c>
      <c r="G129" s="5">
        <v>20267.0</v>
      </c>
      <c r="H129" s="5" t="s">
        <v>34</v>
      </c>
      <c r="I129" s="12" t="str">
        <f t="shared" si="2"/>
        <v>Jul</v>
      </c>
      <c r="J129" s="6">
        <f t="shared" si="3"/>
        <v>182403</v>
      </c>
      <c r="K129" s="5" t="s">
        <v>43</v>
      </c>
      <c r="L129" s="5">
        <v>182403.0</v>
      </c>
      <c r="M129" s="6">
        <f t="shared" si="4"/>
        <v>7</v>
      </c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1" t="s">
        <v>471</v>
      </c>
      <c r="B130" s="7">
        <v>45451.0</v>
      </c>
      <c r="C130" s="5" t="s">
        <v>19</v>
      </c>
      <c r="D130" s="5" t="s">
        <v>267</v>
      </c>
      <c r="E130" s="5" t="str">
        <f t="shared" si="1"/>
        <v>Mobiles</v>
      </c>
      <c r="F130" s="5">
        <v>13.0</v>
      </c>
      <c r="G130" s="5">
        <v>39608.0</v>
      </c>
      <c r="H130" s="5" t="s">
        <v>29</v>
      </c>
      <c r="I130" s="12" t="str">
        <f t="shared" si="2"/>
        <v>Aug</v>
      </c>
      <c r="J130" s="6">
        <f t="shared" si="3"/>
        <v>514904</v>
      </c>
      <c r="K130" s="5" t="s">
        <v>75</v>
      </c>
      <c r="L130" s="5">
        <v>514904.0</v>
      </c>
      <c r="M130" s="6">
        <f t="shared" si="4"/>
        <v>8</v>
      </c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1" t="s">
        <v>473</v>
      </c>
      <c r="B131" s="7" t="s">
        <v>101</v>
      </c>
      <c r="C131" s="5" t="s">
        <v>24</v>
      </c>
      <c r="D131" s="5" t="s">
        <v>475</v>
      </c>
      <c r="E131" s="5" t="str">
        <f t="shared" si="1"/>
        <v>Laptops</v>
      </c>
      <c r="F131" s="5">
        <v>3.0</v>
      </c>
      <c r="G131" s="5">
        <v>13862.0</v>
      </c>
      <c r="H131" s="5" t="s">
        <v>34</v>
      </c>
      <c r="I131" s="12" t="str">
        <f t="shared" si="2"/>
        <v>Dec</v>
      </c>
      <c r="J131" s="6">
        <f t="shared" si="3"/>
        <v>41586</v>
      </c>
      <c r="K131" s="5" t="s">
        <v>55</v>
      </c>
      <c r="L131" s="5">
        <v>41586.0</v>
      </c>
      <c r="M131" s="6">
        <f t="shared" si="4"/>
        <v>12</v>
      </c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1" t="s">
        <v>476</v>
      </c>
      <c r="B132" s="7" t="s">
        <v>477</v>
      </c>
      <c r="C132" s="5" t="s">
        <v>24</v>
      </c>
      <c r="D132" s="5" t="s">
        <v>478</v>
      </c>
      <c r="E132" s="5" t="str">
        <f t="shared" si="1"/>
        <v>Mobiles</v>
      </c>
      <c r="F132" s="5">
        <v>2.0</v>
      </c>
      <c r="G132" s="5">
        <v>60506.0</v>
      </c>
      <c r="H132" s="5" t="s">
        <v>20</v>
      </c>
      <c r="I132" s="12" t="str">
        <f t="shared" si="2"/>
        <v>Apr</v>
      </c>
      <c r="J132" s="6">
        <f t="shared" si="3"/>
        <v>0</v>
      </c>
      <c r="K132" s="5" t="s">
        <v>37</v>
      </c>
      <c r="L132" s="5">
        <v>121012.0</v>
      </c>
      <c r="M132" s="6">
        <f t="shared" si="4"/>
        <v>4</v>
      </c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1" t="s">
        <v>480</v>
      </c>
      <c r="B133" s="7">
        <v>45363.0</v>
      </c>
      <c r="C133" s="5" t="s">
        <v>24</v>
      </c>
      <c r="D133" s="5" t="s">
        <v>481</v>
      </c>
      <c r="E133" s="5" t="str">
        <f t="shared" si="1"/>
        <v>Accessories</v>
      </c>
      <c r="F133" s="5">
        <v>10.0</v>
      </c>
      <c r="G133" s="5">
        <v>14509.0</v>
      </c>
      <c r="H133" s="5" t="s">
        <v>20</v>
      </c>
      <c r="I133" s="12" t="str">
        <f t="shared" si="2"/>
        <v>Dec</v>
      </c>
      <c r="J133" s="6">
        <f t="shared" si="3"/>
        <v>0</v>
      </c>
      <c r="K133" s="5" t="s">
        <v>85</v>
      </c>
      <c r="L133" s="5">
        <v>145090.0</v>
      </c>
      <c r="M133" s="6">
        <f t="shared" si="4"/>
        <v>12</v>
      </c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1" t="s">
        <v>482</v>
      </c>
      <c r="B134" s="7" t="s">
        <v>433</v>
      </c>
      <c r="C134" s="5" t="s">
        <v>19</v>
      </c>
      <c r="D134" s="5" t="s">
        <v>483</v>
      </c>
      <c r="E134" s="5" t="str">
        <f t="shared" si="1"/>
        <v>Accessories</v>
      </c>
      <c r="F134" s="5">
        <v>2.0</v>
      </c>
      <c r="G134" s="5">
        <v>33175.0</v>
      </c>
      <c r="H134" s="5" t="s">
        <v>29</v>
      </c>
      <c r="I134" s="12" t="str">
        <f t="shared" si="2"/>
        <v>May</v>
      </c>
      <c r="J134" s="6">
        <f t="shared" si="3"/>
        <v>66350</v>
      </c>
      <c r="K134" s="5" t="s">
        <v>23</v>
      </c>
      <c r="L134" s="5">
        <v>66350.0</v>
      </c>
      <c r="M134" s="6">
        <f t="shared" si="4"/>
        <v>5</v>
      </c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1" t="s">
        <v>485</v>
      </c>
      <c r="B135" s="7" t="s">
        <v>444</v>
      </c>
      <c r="C135" s="5" t="s">
        <v>22</v>
      </c>
      <c r="D135" s="5" t="s">
        <v>354</v>
      </c>
      <c r="E135" s="5" t="str">
        <f t="shared" si="1"/>
        <v>Laptops</v>
      </c>
      <c r="F135" s="5">
        <v>18.0</v>
      </c>
      <c r="G135" s="5">
        <v>16667.0</v>
      </c>
      <c r="H135" s="5" t="s">
        <v>34</v>
      </c>
      <c r="I135" s="12" t="str">
        <f t="shared" si="2"/>
        <v>Jan</v>
      </c>
      <c r="J135" s="6">
        <f t="shared" si="3"/>
        <v>300006</v>
      </c>
      <c r="K135" s="5" t="s">
        <v>55</v>
      </c>
      <c r="L135" s="5">
        <v>300006.0</v>
      </c>
      <c r="M135" s="6">
        <f t="shared" si="4"/>
        <v>1</v>
      </c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1" t="s">
        <v>487</v>
      </c>
      <c r="B136" s="7">
        <v>45298.0</v>
      </c>
      <c r="C136" s="5" t="s">
        <v>19</v>
      </c>
      <c r="D136" s="5" t="s">
        <v>488</v>
      </c>
      <c r="E136" s="5" t="str">
        <f t="shared" si="1"/>
        <v>Accessories</v>
      </c>
      <c r="F136" s="5">
        <v>19.0</v>
      </c>
      <c r="G136" s="5">
        <v>72713.0</v>
      </c>
      <c r="H136" s="5" t="s">
        <v>20</v>
      </c>
      <c r="I136" s="12" t="str">
        <f t="shared" si="2"/>
        <v>Jul</v>
      </c>
      <c r="J136" s="6">
        <f t="shared" si="3"/>
        <v>0</v>
      </c>
      <c r="K136" s="5" t="s">
        <v>85</v>
      </c>
      <c r="L136" s="5">
        <v>1381547.0</v>
      </c>
      <c r="M136" s="6">
        <f t="shared" si="4"/>
        <v>7</v>
      </c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1" t="s">
        <v>490</v>
      </c>
      <c r="B137" s="7">
        <v>45482.0</v>
      </c>
      <c r="C137" s="5" t="s">
        <v>19</v>
      </c>
      <c r="D137" s="5" t="s">
        <v>486</v>
      </c>
      <c r="E137" s="5" t="str">
        <f t="shared" si="1"/>
        <v>Laptops</v>
      </c>
      <c r="F137" s="5">
        <v>2.0</v>
      </c>
      <c r="G137" s="5">
        <v>37730.0</v>
      </c>
      <c r="H137" s="5" t="s">
        <v>34</v>
      </c>
      <c r="I137" s="12" t="str">
        <f t="shared" si="2"/>
        <v>Sep</v>
      </c>
      <c r="J137" s="6">
        <f t="shared" si="3"/>
        <v>75460</v>
      </c>
      <c r="K137" s="5" t="s">
        <v>43</v>
      </c>
      <c r="L137" s="5">
        <v>75460.0</v>
      </c>
      <c r="M137" s="6">
        <f t="shared" si="4"/>
        <v>9</v>
      </c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1" t="s">
        <v>491</v>
      </c>
      <c r="B138" s="7">
        <v>45627.0</v>
      </c>
      <c r="C138" s="5" t="s">
        <v>19</v>
      </c>
      <c r="D138" s="5" t="s">
        <v>492</v>
      </c>
      <c r="E138" s="5" t="str">
        <f t="shared" si="1"/>
        <v>Mobiles</v>
      </c>
      <c r="F138" s="5">
        <v>1.0</v>
      </c>
      <c r="G138" s="5">
        <v>56762.0</v>
      </c>
      <c r="H138" s="5" t="s">
        <v>20</v>
      </c>
      <c r="I138" s="12" t="str">
        <f t="shared" si="2"/>
        <v>Jan</v>
      </c>
      <c r="J138" s="6">
        <f t="shared" si="3"/>
        <v>0</v>
      </c>
      <c r="K138" s="5" t="s">
        <v>37</v>
      </c>
      <c r="L138" s="5">
        <v>56762.0</v>
      </c>
      <c r="M138" s="6">
        <f t="shared" si="4"/>
        <v>1</v>
      </c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1" t="s">
        <v>493</v>
      </c>
      <c r="B139" s="7">
        <v>45362.0</v>
      </c>
      <c r="C139" s="5" t="s">
        <v>16</v>
      </c>
      <c r="D139" s="5" t="s">
        <v>185</v>
      </c>
      <c r="E139" s="5" t="str">
        <f t="shared" si="1"/>
        <v>Accessories</v>
      </c>
      <c r="F139" s="5">
        <v>11.0</v>
      </c>
      <c r="G139" s="5">
        <v>71120.0</v>
      </c>
      <c r="H139" s="5" t="s">
        <v>34</v>
      </c>
      <c r="I139" s="12" t="str">
        <f t="shared" si="2"/>
        <v>Nov</v>
      </c>
      <c r="J139" s="6">
        <f t="shared" si="3"/>
        <v>782320</v>
      </c>
      <c r="K139" s="5" t="s">
        <v>85</v>
      </c>
      <c r="L139" s="5">
        <v>782320.0</v>
      </c>
      <c r="M139" s="6">
        <f t="shared" si="4"/>
        <v>11</v>
      </c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1" t="s">
        <v>494</v>
      </c>
      <c r="B140" s="7" t="s">
        <v>495</v>
      </c>
      <c r="C140" s="5" t="s">
        <v>22</v>
      </c>
      <c r="D140" s="5" t="s">
        <v>497</v>
      </c>
      <c r="E140" s="5" t="str">
        <f t="shared" si="1"/>
        <v>Mobiles</v>
      </c>
      <c r="F140" s="5">
        <v>19.0</v>
      </c>
      <c r="G140" s="5">
        <v>42761.0</v>
      </c>
      <c r="H140" s="5" t="s">
        <v>20</v>
      </c>
      <c r="I140" s="12" t="str">
        <f t="shared" si="2"/>
        <v>Nov</v>
      </c>
      <c r="J140" s="6">
        <f t="shared" si="3"/>
        <v>0</v>
      </c>
      <c r="K140" s="5" t="s">
        <v>75</v>
      </c>
      <c r="L140" s="5">
        <v>812459.0</v>
      </c>
      <c r="M140" s="6">
        <f t="shared" si="4"/>
        <v>11</v>
      </c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1" t="s">
        <v>498</v>
      </c>
      <c r="B141" s="7">
        <v>45636.0</v>
      </c>
      <c r="C141" s="5" t="s">
        <v>22</v>
      </c>
      <c r="D141" s="5" t="s">
        <v>499</v>
      </c>
      <c r="E141" s="5" t="str">
        <f t="shared" si="1"/>
        <v>Accessories</v>
      </c>
      <c r="F141" s="5">
        <v>17.0</v>
      </c>
      <c r="G141" s="5">
        <v>57797.0</v>
      </c>
      <c r="H141" s="5" t="s">
        <v>20</v>
      </c>
      <c r="I141" s="12" t="str">
        <f t="shared" si="2"/>
        <v>Oct</v>
      </c>
      <c r="J141" s="6">
        <f t="shared" si="3"/>
        <v>0</v>
      </c>
      <c r="K141" s="5" t="s">
        <v>85</v>
      </c>
      <c r="L141" s="5">
        <v>982549.0</v>
      </c>
      <c r="M141" s="6">
        <f t="shared" si="4"/>
        <v>10</v>
      </c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1" t="s">
        <v>500</v>
      </c>
      <c r="B142" s="7">
        <v>45603.0</v>
      </c>
      <c r="C142" s="5" t="s">
        <v>16</v>
      </c>
      <c r="D142" s="5" t="s">
        <v>501</v>
      </c>
      <c r="E142" s="5" t="str">
        <f t="shared" si="1"/>
        <v>Accessories</v>
      </c>
      <c r="F142" s="5">
        <v>7.0</v>
      </c>
      <c r="G142" s="5">
        <v>51415.0</v>
      </c>
      <c r="H142" s="5" t="s">
        <v>20</v>
      </c>
      <c r="I142" s="12" t="str">
        <f t="shared" si="2"/>
        <v>Jul</v>
      </c>
      <c r="J142" s="6">
        <f t="shared" si="3"/>
        <v>0</v>
      </c>
      <c r="K142" s="5" t="s">
        <v>85</v>
      </c>
      <c r="L142" s="5">
        <v>359905.0</v>
      </c>
      <c r="M142" s="6">
        <f t="shared" si="4"/>
        <v>7</v>
      </c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1" t="s">
        <v>503</v>
      </c>
      <c r="B143" s="7">
        <v>45301.0</v>
      </c>
      <c r="C143" s="5" t="s">
        <v>19</v>
      </c>
      <c r="D143" s="5" t="s">
        <v>184</v>
      </c>
      <c r="E143" s="5" t="str">
        <f t="shared" si="1"/>
        <v>Laptops</v>
      </c>
      <c r="F143" s="5">
        <v>17.0</v>
      </c>
      <c r="G143" s="5">
        <v>46187.0</v>
      </c>
      <c r="H143" s="5" t="s">
        <v>34</v>
      </c>
      <c r="I143" s="12" t="str">
        <f t="shared" si="2"/>
        <v>Oct</v>
      </c>
      <c r="J143" s="6">
        <f t="shared" si="3"/>
        <v>785179</v>
      </c>
      <c r="K143" s="5" t="s">
        <v>55</v>
      </c>
      <c r="L143" s="5">
        <v>785179.0</v>
      </c>
      <c r="M143" s="6">
        <f t="shared" si="4"/>
        <v>10</v>
      </c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1" t="s">
        <v>505</v>
      </c>
      <c r="B144" s="7" t="s">
        <v>506</v>
      </c>
      <c r="C144" s="5" t="s">
        <v>22</v>
      </c>
      <c r="D144" s="5" t="s">
        <v>469</v>
      </c>
      <c r="E144" s="5" t="str">
        <f t="shared" si="1"/>
        <v>Accessories</v>
      </c>
      <c r="F144" s="5">
        <v>2.0</v>
      </c>
      <c r="G144" s="5">
        <v>48148.0</v>
      </c>
      <c r="H144" s="5" t="s">
        <v>34</v>
      </c>
      <c r="I144" s="12" t="str">
        <f t="shared" si="2"/>
        <v>Sep</v>
      </c>
      <c r="J144" s="6">
        <f t="shared" si="3"/>
        <v>96296</v>
      </c>
      <c r="K144" s="5" t="s">
        <v>85</v>
      </c>
      <c r="L144" s="5">
        <v>96296.0</v>
      </c>
      <c r="M144" s="6">
        <f t="shared" si="4"/>
        <v>9</v>
      </c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1" t="s">
        <v>507</v>
      </c>
      <c r="B145" s="7" t="s">
        <v>508</v>
      </c>
      <c r="C145" s="5" t="s">
        <v>19</v>
      </c>
      <c r="D145" s="5" t="s">
        <v>510</v>
      </c>
      <c r="E145" s="5" t="str">
        <f t="shared" si="1"/>
        <v>Mobiles</v>
      </c>
      <c r="F145" s="5">
        <v>11.0</v>
      </c>
      <c r="G145" s="5">
        <v>727.0</v>
      </c>
      <c r="H145" s="5" t="s">
        <v>29</v>
      </c>
      <c r="I145" s="12" t="str">
        <f t="shared" si="2"/>
        <v>Sep</v>
      </c>
      <c r="J145" s="6">
        <f t="shared" si="3"/>
        <v>7997</v>
      </c>
      <c r="K145" s="5" t="s">
        <v>37</v>
      </c>
      <c r="L145" s="5">
        <v>7997.0</v>
      </c>
      <c r="M145" s="6">
        <f t="shared" si="4"/>
        <v>9</v>
      </c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1" t="s">
        <v>512</v>
      </c>
      <c r="B146" s="7">
        <v>45391.0</v>
      </c>
      <c r="C146" s="5" t="s">
        <v>24</v>
      </c>
      <c r="D146" s="5" t="s">
        <v>513</v>
      </c>
      <c r="E146" s="5" t="str">
        <f t="shared" si="1"/>
        <v>Mobiles</v>
      </c>
      <c r="F146" s="5">
        <v>2.0</v>
      </c>
      <c r="G146" s="5">
        <v>61512.0</v>
      </c>
      <c r="H146" s="5" t="s">
        <v>20</v>
      </c>
      <c r="I146" s="12" t="str">
        <f t="shared" si="2"/>
        <v>Sep</v>
      </c>
      <c r="J146" s="6">
        <f t="shared" si="3"/>
        <v>0</v>
      </c>
      <c r="K146" s="5" t="s">
        <v>75</v>
      </c>
      <c r="L146" s="5">
        <v>123024.0</v>
      </c>
      <c r="M146" s="6">
        <f t="shared" si="4"/>
        <v>9</v>
      </c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1" t="s">
        <v>515</v>
      </c>
      <c r="B147" s="7">
        <v>45515.0</v>
      </c>
      <c r="C147" s="5" t="s">
        <v>22</v>
      </c>
      <c r="D147" s="5" t="s">
        <v>431</v>
      </c>
      <c r="E147" s="5" t="str">
        <f t="shared" si="1"/>
        <v>Mobiles</v>
      </c>
      <c r="F147" s="5">
        <v>15.0</v>
      </c>
      <c r="G147" s="5">
        <v>10635.0</v>
      </c>
      <c r="H147" s="5" t="s">
        <v>34</v>
      </c>
      <c r="I147" s="12" t="str">
        <f t="shared" si="2"/>
        <v>Nov</v>
      </c>
      <c r="J147" s="6">
        <f t="shared" si="3"/>
        <v>159525</v>
      </c>
      <c r="K147" s="5" t="s">
        <v>75</v>
      </c>
      <c r="L147" s="5">
        <v>159525.0</v>
      </c>
      <c r="M147" s="6">
        <f t="shared" si="4"/>
        <v>11</v>
      </c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1" t="s">
        <v>517</v>
      </c>
      <c r="B148" s="7" t="s">
        <v>433</v>
      </c>
      <c r="C148" s="5" t="s">
        <v>19</v>
      </c>
      <c r="D148" s="5" t="s">
        <v>247</v>
      </c>
      <c r="E148" s="5" t="str">
        <f t="shared" si="1"/>
        <v>Accessories</v>
      </c>
      <c r="F148" s="5">
        <v>19.0</v>
      </c>
      <c r="G148" s="5">
        <v>28627.0</v>
      </c>
      <c r="H148" s="5" t="s">
        <v>29</v>
      </c>
      <c r="I148" s="12" t="str">
        <f t="shared" si="2"/>
        <v>May</v>
      </c>
      <c r="J148" s="6">
        <f t="shared" si="3"/>
        <v>543913</v>
      </c>
      <c r="K148" s="5" t="s">
        <v>30</v>
      </c>
      <c r="L148" s="5">
        <v>543913.0</v>
      </c>
      <c r="M148" s="6">
        <f t="shared" si="4"/>
        <v>5</v>
      </c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1" t="s">
        <v>519</v>
      </c>
      <c r="B149" s="7">
        <v>45384.0</v>
      </c>
      <c r="C149" s="5" t="s">
        <v>19</v>
      </c>
      <c r="D149" s="5" t="s">
        <v>191</v>
      </c>
      <c r="E149" s="5" t="str">
        <f t="shared" si="1"/>
        <v>Accessories</v>
      </c>
      <c r="F149" s="5">
        <v>16.0</v>
      </c>
      <c r="G149" s="5">
        <v>44967.0</v>
      </c>
      <c r="H149" s="5" t="s">
        <v>34</v>
      </c>
      <c r="I149" s="12" t="str">
        <f t="shared" si="2"/>
        <v>Feb</v>
      </c>
      <c r="J149" s="6">
        <f t="shared" si="3"/>
        <v>719472</v>
      </c>
      <c r="K149" s="5" t="s">
        <v>30</v>
      </c>
      <c r="L149" s="5">
        <v>719472.0</v>
      </c>
      <c r="M149" s="6">
        <f t="shared" si="4"/>
        <v>2</v>
      </c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1" t="s">
        <v>521</v>
      </c>
      <c r="B150" s="7" t="s">
        <v>288</v>
      </c>
      <c r="C150" s="5" t="s">
        <v>19</v>
      </c>
      <c r="D150" s="5" t="s">
        <v>445</v>
      </c>
      <c r="E150" s="5" t="str">
        <f t="shared" si="1"/>
        <v>Accessories</v>
      </c>
      <c r="F150" s="5">
        <v>2.0</v>
      </c>
      <c r="G150" s="5">
        <v>70732.0</v>
      </c>
      <c r="H150" s="5" t="s">
        <v>34</v>
      </c>
      <c r="I150" s="12" t="str">
        <f t="shared" si="2"/>
        <v>Dec</v>
      </c>
      <c r="J150" s="6">
        <f t="shared" si="3"/>
        <v>141464</v>
      </c>
      <c r="K150" s="5" t="s">
        <v>85</v>
      </c>
      <c r="L150" s="5">
        <v>141464.0</v>
      </c>
      <c r="M150" s="6">
        <f t="shared" si="4"/>
        <v>12</v>
      </c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1" t="s">
        <v>523</v>
      </c>
      <c r="B151" s="7">
        <v>45567.0</v>
      </c>
      <c r="C151" s="5" t="s">
        <v>22</v>
      </c>
      <c r="D151" s="5" t="s">
        <v>489</v>
      </c>
      <c r="E151" s="5" t="str">
        <f t="shared" si="1"/>
        <v>Accessories</v>
      </c>
      <c r="F151" s="5">
        <v>1.0</v>
      </c>
      <c r="G151" s="5">
        <v>75022.0</v>
      </c>
      <c r="H151" s="5" t="s">
        <v>29</v>
      </c>
      <c r="I151" s="12" t="str">
        <f t="shared" si="2"/>
        <v>Feb</v>
      </c>
      <c r="J151" s="6">
        <f t="shared" si="3"/>
        <v>75022</v>
      </c>
      <c r="K151" s="5" t="s">
        <v>85</v>
      </c>
      <c r="L151" s="5">
        <v>75022.0</v>
      </c>
      <c r="M151" s="6">
        <f t="shared" si="4"/>
        <v>2</v>
      </c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1" t="s">
        <v>525</v>
      </c>
      <c r="B152" s="7" t="s">
        <v>131</v>
      </c>
      <c r="C152" s="5" t="s">
        <v>22</v>
      </c>
      <c r="D152" s="5" t="s">
        <v>526</v>
      </c>
      <c r="E152" s="5" t="str">
        <f t="shared" si="1"/>
        <v>Accessories</v>
      </c>
      <c r="F152" s="5">
        <v>18.0</v>
      </c>
      <c r="G152" s="5">
        <v>21040.0</v>
      </c>
      <c r="H152" s="5" t="s">
        <v>20</v>
      </c>
      <c r="I152" s="12" t="str">
        <f t="shared" si="2"/>
        <v>Oct</v>
      </c>
      <c r="J152" s="6">
        <f t="shared" si="3"/>
        <v>0</v>
      </c>
      <c r="K152" s="5" t="s">
        <v>30</v>
      </c>
      <c r="L152" s="5">
        <v>378720.0</v>
      </c>
      <c r="M152" s="6">
        <f t="shared" si="4"/>
        <v>10</v>
      </c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1" t="s">
        <v>528</v>
      </c>
      <c r="B153" s="7">
        <v>45631.0</v>
      </c>
      <c r="C153" s="5" t="s">
        <v>24</v>
      </c>
      <c r="D153" s="5" t="s">
        <v>344</v>
      </c>
      <c r="E153" s="5" t="str">
        <f t="shared" si="1"/>
        <v>Laptops</v>
      </c>
      <c r="F153" s="5">
        <v>6.0</v>
      </c>
      <c r="G153" s="5">
        <v>50784.0</v>
      </c>
      <c r="H153" s="5" t="s">
        <v>29</v>
      </c>
      <c r="I153" s="12" t="str">
        <f t="shared" si="2"/>
        <v>May</v>
      </c>
      <c r="J153" s="6">
        <f t="shared" si="3"/>
        <v>304704</v>
      </c>
      <c r="K153" s="5" t="s">
        <v>43</v>
      </c>
      <c r="L153" s="5">
        <v>304704.0</v>
      </c>
      <c r="M153" s="6">
        <f t="shared" si="4"/>
        <v>5</v>
      </c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1" t="s">
        <v>529</v>
      </c>
      <c r="B154" s="7" t="s">
        <v>530</v>
      </c>
      <c r="C154" s="5" t="s">
        <v>24</v>
      </c>
      <c r="D154" s="5" t="s">
        <v>333</v>
      </c>
      <c r="E154" s="5" t="str">
        <f t="shared" si="1"/>
        <v>Laptops</v>
      </c>
      <c r="F154" s="5">
        <v>11.0</v>
      </c>
      <c r="G154" s="5">
        <v>31483.0</v>
      </c>
      <c r="H154" s="5" t="s">
        <v>34</v>
      </c>
      <c r="I154" s="12" t="str">
        <f t="shared" si="2"/>
        <v>Aug</v>
      </c>
      <c r="J154" s="6">
        <f t="shared" si="3"/>
        <v>346313</v>
      </c>
      <c r="K154" s="5" t="s">
        <v>55</v>
      </c>
      <c r="L154" s="5">
        <v>346313.0</v>
      </c>
      <c r="M154" s="6">
        <f t="shared" si="4"/>
        <v>8</v>
      </c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1" t="s">
        <v>532</v>
      </c>
      <c r="B155" s="7">
        <v>45421.0</v>
      </c>
      <c r="C155" s="5" t="s">
        <v>16</v>
      </c>
      <c r="D155" s="5" t="s">
        <v>309</v>
      </c>
      <c r="E155" s="5" t="str">
        <f t="shared" si="1"/>
        <v>Laptops</v>
      </c>
      <c r="F155" s="5">
        <v>5.0</v>
      </c>
      <c r="G155" s="5">
        <v>74938.0</v>
      </c>
      <c r="H155" s="5" t="s">
        <v>29</v>
      </c>
      <c r="I155" s="12" t="str">
        <f t="shared" si="2"/>
        <v>Sep</v>
      </c>
      <c r="J155" s="6">
        <f t="shared" si="3"/>
        <v>374690</v>
      </c>
      <c r="K155" s="5" t="s">
        <v>43</v>
      </c>
      <c r="L155" s="5">
        <v>374690.0</v>
      </c>
      <c r="M155" s="6">
        <f t="shared" si="4"/>
        <v>9</v>
      </c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1" t="s">
        <v>534</v>
      </c>
      <c r="B156" s="7" t="s">
        <v>535</v>
      </c>
      <c r="C156" s="5" t="s">
        <v>24</v>
      </c>
      <c r="D156" s="5" t="s">
        <v>536</v>
      </c>
      <c r="E156" s="5" t="str">
        <f t="shared" si="1"/>
        <v>Mobiles</v>
      </c>
      <c r="F156" s="5">
        <v>1.0</v>
      </c>
      <c r="G156" s="5">
        <v>33659.0</v>
      </c>
      <c r="H156" s="5" t="s">
        <v>29</v>
      </c>
      <c r="I156" s="12" t="str">
        <f t="shared" si="2"/>
        <v>Jun</v>
      </c>
      <c r="J156" s="6">
        <f t="shared" si="3"/>
        <v>33659</v>
      </c>
      <c r="K156" s="5" t="s">
        <v>37</v>
      </c>
      <c r="L156" s="5">
        <v>33659.0</v>
      </c>
      <c r="M156" s="6">
        <f t="shared" si="4"/>
        <v>6</v>
      </c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1" t="s">
        <v>538</v>
      </c>
      <c r="B157" s="7" t="s">
        <v>149</v>
      </c>
      <c r="C157" s="5" t="s">
        <v>22</v>
      </c>
      <c r="D157" s="5" t="s">
        <v>539</v>
      </c>
      <c r="E157" s="5" t="str">
        <f t="shared" si="1"/>
        <v>Mobiles</v>
      </c>
      <c r="F157" s="5">
        <v>8.0</v>
      </c>
      <c r="G157" s="5">
        <v>63132.0</v>
      </c>
      <c r="H157" s="5" t="s">
        <v>20</v>
      </c>
      <c r="I157" s="12" t="str">
        <f t="shared" si="2"/>
        <v>Mar</v>
      </c>
      <c r="J157" s="6">
        <f t="shared" si="3"/>
        <v>0</v>
      </c>
      <c r="K157" s="5" t="s">
        <v>37</v>
      </c>
      <c r="L157" s="5">
        <v>505056.0</v>
      </c>
      <c r="M157" s="6">
        <f t="shared" si="4"/>
        <v>3</v>
      </c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1" t="s">
        <v>540</v>
      </c>
      <c r="B158" s="7" t="s">
        <v>508</v>
      </c>
      <c r="C158" s="5" t="s">
        <v>16</v>
      </c>
      <c r="D158" s="5" t="s">
        <v>541</v>
      </c>
      <c r="E158" s="5" t="str">
        <f t="shared" si="1"/>
        <v>Accessories</v>
      </c>
      <c r="F158" s="5">
        <v>9.0</v>
      </c>
      <c r="G158" s="5">
        <v>59701.0</v>
      </c>
      <c r="H158" s="5" t="s">
        <v>20</v>
      </c>
      <c r="I158" s="12" t="str">
        <f t="shared" si="2"/>
        <v>Sep</v>
      </c>
      <c r="J158" s="6">
        <f t="shared" si="3"/>
        <v>0</v>
      </c>
      <c r="K158" s="5" t="s">
        <v>23</v>
      </c>
      <c r="L158" s="5">
        <v>537309.0</v>
      </c>
      <c r="M158" s="6">
        <f t="shared" si="4"/>
        <v>9</v>
      </c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1" t="s">
        <v>543</v>
      </c>
      <c r="B159" s="7" t="s">
        <v>544</v>
      </c>
      <c r="C159" s="5" t="s">
        <v>16</v>
      </c>
      <c r="D159" s="5" t="s">
        <v>206</v>
      </c>
      <c r="E159" s="5" t="str">
        <f t="shared" si="1"/>
        <v>Mobiles</v>
      </c>
      <c r="F159" s="5">
        <v>14.0</v>
      </c>
      <c r="G159" s="5">
        <v>48226.0</v>
      </c>
      <c r="H159" s="5" t="s">
        <v>29</v>
      </c>
      <c r="I159" s="12" t="str">
        <f t="shared" si="2"/>
        <v>May</v>
      </c>
      <c r="J159" s="6">
        <f t="shared" si="3"/>
        <v>675164</v>
      </c>
      <c r="K159" s="5" t="s">
        <v>75</v>
      </c>
      <c r="L159" s="5">
        <v>675164.0</v>
      </c>
      <c r="M159" s="6">
        <f t="shared" si="4"/>
        <v>5</v>
      </c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1" t="s">
        <v>546</v>
      </c>
      <c r="B160" s="7" t="s">
        <v>547</v>
      </c>
      <c r="C160" s="5" t="s">
        <v>22</v>
      </c>
      <c r="D160" s="5" t="s">
        <v>548</v>
      </c>
      <c r="E160" s="5" t="str">
        <f t="shared" si="1"/>
        <v>Accessories</v>
      </c>
      <c r="F160" s="5">
        <v>11.0</v>
      </c>
      <c r="G160" s="5">
        <v>50614.0</v>
      </c>
      <c r="H160" s="5" t="s">
        <v>20</v>
      </c>
      <c r="I160" s="12" t="str">
        <f t="shared" si="2"/>
        <v>Jul</v>
      </c>
      <c r="J160" s="6">
        <f t="shared" si="3"/>
        <v>0</v>
      </c>
      <c r="K160" s="5" t="s">
        <v>85</v>
      </c>
      <c r="L160" s="5">
        <v>556754.0</v>
      </c>
      <c r="M160" s="6">
        <f t="shared" si="4"/>
        <v>7</v>
      </c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1" t="s">
        <v>549</v>
      </c>
      <c r="B161" s="7">
        <v>45413.0</v>
      </c>
      <c r="C161" s="5" t="s">
        <v>16</v>
      </c>
      <c r="D161" s="5" t="s">
        <v>550</v>
      </c>
      <c r="E161" s="5" t="str">
        <f t="shared" si="1"/>
        <v>Accessories</v>
      </c>
      <c r="F161" s="5">
        <v>17.0</v>
      </c>
      <c r="G161" s="5">
        <v>61445.0</v>
      </c>
      <c r="H161" s="5" t="s">
        <v>20</v>
      </c>
      <c r="I161" s="12" t="str">
        <f t="shared" si="2"/>
        <v>Jan</v>
      </c>
      <c r="J161" s="6">
        <f t="shared" si="3"/>
        <v>0</v>
      </c>
      <c r="K161" s="5" t="s">
        <v>85</v>
      </c>
      <c r="L161" s="5">
        <v>1044565.0</v>
      </c>
      <c r="M161" s="6">
        <f t="shared" si="4"/>
        <v>1</v>
      </c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1" t="s">
        <v>551</v>
      </c>
      <c r="B162" s="7" t="s">
        <v>552</v>
      </c>
      <c r="C162" s="5" t="s">
        <v>19</v>
      </c>
      <c r="D162" s="5" t="s">
        <v>553</v>
      </c>
      <c r="E162" s="5" t="str">
        <f t="shared" si="1"/>
        <v>Accessories</v>
      </c>
      <c r="F162" s="5">
        <v>1.0</v>
      </c>
      <c r="G162" s="5">
        <v>35824.0</v>
      </c>
      <c r="H162" s="5" t="s">
        <v>20</v>
      </c>
      <c r="I162" s="12" t="str">
        <f t="shared" si="2"/>
        <v>Feb</v>
      </c>
      <c r="J162" s="6">
        <f t="shared" si="3"/>
        <v>0</v>
      </c>
      <c r="K162" s="5" t="s">
        <v>85</v>
      </c>
      <c r="L162" s="5">
        <v>35824.0</v>
      </c>
      <c r="M162" s="6">
        <f t="shared" si="4"/>
        <v>2</v>
      </c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1" t="s">
        <v>554</v>
      </c>
      <c r="B163" s="7">
        <v>45571.0</v>
      </c>
      <c r="C163" s="5" t="s">
        <v>19</v>
      </c>
      <c r="D163" s="5" t="s">
        <v>250</v>
      </c>
      <c r="E163" s="5" t="str">
        <f t="shared" si="1"/>
        <v>Mobiles</v>
      </c>
      <c r="F163" s="5">
        <v>20.0</v>
      </c>
      <c r="G163" s="5">
        <v>27099.0</v>
      </c>
      <c r="H163" s="5" t="s">
        <v>34</v>
      </c>
      <c r="I163" s="12" t="str">
        <f t="shared" si="2"/>
        <v>Jun</v>
      </c>
      <c r="J163" s="6">
        <f t="shared" si="3"/>
        <v>541980</v>
      </c>
      <c r="K163" s="5" t="s">
        <v>75</v>
      </c>
      <c r="L163" s="5">
        <v>541980.0</v>
      </c>
      <c r="M163" s="6">
        <f t="shared" si="4"/>
        <v>6</v>
      </c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1" t="s">
        <v>556</v>
      </c>
      <c r="B164" s="7" t="s">
        <v>453</v>
      </c>
      <c r="C164" s="5" t="s">
        <v>24</v>
      </c>
      <c r="D164" s="5" t="s">
        <v>437</v>
      </c>
      <c r="E164" s="5" t="str">
        <f t="shared" si="1"/>
        <v>Accessories</v>
      </c>
      <c r="F164" s="5">
        <v>3.0</v>
      </c>
      <c r="G164" s="5">
        <v>51511.0</v>
      </c>
      <c r="H164" s="5" t="s">
        <v>34</v>
      </c>
      <c r="I164" s="12" t="str">
        <f t="shared" si="2"/>
        <v>Sep</v>
      </c>
      <c r="J164" s="6">
        <f t="shared" si="3"/>
        <v>154533</v>
      </c>
      <c r="K164" s="5" t="s">
        <v>85</v>
      </c>
      <c r="L164" s="5">
        <v>154533.0</v>
      </c>
      <c r="M164" s="6">
        <f t="shared" si="4"/>
        <v>9</v>
      </c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1" t="s">
        <v>558</v>
      </c>
      <c r="B165" s="7">
        <v>45452.0</v>
      </c>
      <c r="C165" s="5" t="s">
        <v>24</v>
      </c>
      <c r="D165" s="5" t="s">
        <v>559</v>
      </c>
      <c r="E165" s="5" t="str">
        <f t="shared" si="1"/>
        <v>Accessories</v>
      </c>
      <c r="F165" s="5">
        <v>20.0</v>
      </c>
      <c r="G165" s="5">
        <v>36933.0</v>
      </c>
      <c r="H165" s="5" t="s">
        <v>20</v>
      </c>
      <c r="I165" s="12" t="str">
        <f t="shared" si="2"/>
        <v>Sep</v>
      </c>
      <c r="J165" s="6">
        <f t="shared" si="3"/>
        <v>0</v>
      </c>
      <c r="K165" s="5" t="s">
        <v>85</v>
      </c>
      <c r="L165" s="5">
        <v>738660.0</v>
      </c>
      <c r="M165" s="6">
        <f t="shared" si="4"/>
        <v>9</v>
      </c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1" t="s">
        <v>561</v>
      </c>
      <c r="B166" s="7" t="s">
        <v>562</v>
      </c>
      <c r="C166" s="5" t="s">
        <v>24</v>
      </c>
      <c r="D166" s="5" t="s">
        <v>560</v>
      </c>
      <c r="E166" s="5" t="str">
        <f t="shared" si="1"/>
        <v>Laptops</v>
      </c>
      <c r="F166" s="5">
        <v>4.0</v>
      </c>
      <c r="G166" s="5">
        <v>1692.0</v>
      </c>
      <c r="H166" s="5" t="s">
        <v>29</v>
      </c>
      <c r="I166" s="12" t="str">
        <f t="shared" si="2"/>
        <v>Jul</v>
      </c>
      <c r="J166" s="6">
        <f t="shared" si="3"/>
        <v>6768</v>
      </c>
      <c r="K166" s="5" t="s">
        <v>43</v>
      </c>
      <c r="L166" s="5">
        <v>6768.0</v>
      </c>
      <c r="M166" s="6">
        <f t="shared" si="4"/>
        <v>7</v>
      </c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1" t="s">
        <v>563</v>
      </c>
      <c r="B167" s="7" t="s">
        <v>564</v>
      </c>
      <c r="C167" s="5" t="s">
        <v>22</v>
      </c>
      <c r="D167" s="5" t="s">
        <v>162</v>
      </c>
      <c r="E167" s="5" t="str">
        <f t="shared" si="1"/>
        <v>Accessories</v>
      </c>
      <c r="F167" s="5">
        <v>15.0</v>
      </c>
      <c r="G167" s="5">
        <v>57168.0</v>
      </c>
      <c r="H167" s="5" t="s">
        <v>29</v>
      </c>
      <c r="I167" s="12" t="str">
        <f t="shared" si="2"/>
        <v>May</v>
      </c>
      <c r="J167" s="6">
        <f t="shared" si="3"/>
        <v>857520</v>
      </c>
      <c r="K167" s="5" t="s">
        <v>23</v>
      </c>
      <c r="L167" s="5">
        <v>857520.0</v>
      </c>
      <c r="M167" s="6">
        <f t="shared" si="4"/>
        <v>5</v>
      </c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1" t="s">
        <v>566</v>
      </c>
      <c r="B168" s="7">
        <v>45479.0</v>
      </c>
      <c r="C168" s="5" t="s">
        <v>16</v>
      </c>
      <c r="D168" s="5" t="s">
        <v>276</v>
      </c>
      <c r="E168" s="5" t="str">
        <f t="shared" si="1"/>
        <v>Accessories</v>
      </c>
      <c r="F168" s="5">
        <v>12.0</v>
      </c>
      <c r="G168" s="5">
        <v>39616.0</v>
      </c>
      <c r="H168" s="5" t="s">
        <v>34</v>
      </c>
      <c r="I168" s="12" t="str">
        <f t="shared" si="2"/>
        <v>Jun</v>
      </c>
      <c r="J168" s="6">
        <f t="shared" si="3"/>
        <v>475392</v>
      </c>
      <c r="K168" s="5" t="s">
        <v>85</v>
      </c>
      <c r="L168" s="5">
        <v>475392.0</v>
      </c>
      <c r="M168" s="6">
        <f t="shared" si="4"/>
        <v>6</v>
      </c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1" t="s">
        <v>567</v>
      </c>
      <c r="B169" s="7">
        <v>45480.0</v>
      </c>
      <c r="C169" s="5" t="s">
        <v>24</v>
      </c>
      <c r="D169" s="5" t="s">
        <v>236</v>
      </c>
      <c r="E169" s="5" t="str">
        <f t="shared" si="1"/>
        <v>Accessories</v>
      </c>
      <c r="F169" s="5">
        <v>13.0</v>
      </c>
      <c r="G169" s="5">
        <v>43634.0</v>
      </c>
      <c r="H169" s="5" t="s">
        <v>34</v>
      </c>
      <c r="I169" s="12" t="str">
        <f t="shared" si="2"/>
        <v>Jul</v>
      </c>
      <c r="J169" s="6">
        <f t="shared" si="3"/>
        <v>567242</v>
      </c>
      <c r="K169" s="5" t="s">
        <v>85</v>
      </c>
      <c r="L169" s="5">
        <v>567242.0</v>
      </c>
      <c r="M169" s="6">
        <f t="shared" si="4"/>
        <v>7</v>
      </c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1" t="s">
        <v>569</v>
      </c>
      <c r="B170" s="7" t="s">
        <v>570</v>
      </c>
      <c r="C170" s="5" t="s">
        <v>16</v>
      </c>
      <c r="D170" s="5" t="s">
        <v>568</v>
      </c>
      <c r="E170" s="5" t="str">
        <f t="shared" si="1"/>
        <v>Laptops</v>
      </c>
      <c r="F170" s="5">
        <v>3.0</v>
      </c>
      <c r="G170" s="5">
        <v>60779.0</v>
      </c>
      <c r="H170" s="5" t="s">
        <v>20</v>
      </c>
      <c r="I170" s="12" t="str">
        <f t="shared" si="2"/>
        <v>Jun</v>
      </c>
      <c r="J170" s="6">
        <f t="shared" si="3"/>
        <v>0</v>
      </c>
      <c r="K170" s="5" t="s">
        <v>43</v>
      </c>
      <c r="L170" s="5">
        <v>182337.0</v>
      </c>
      <c r="M170" s="6">
        <f t="shared" si="4"/>
        <v>6</v>
      </c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1" t="s">
        <v>572</v>
      </c>
      <c r="B171" s="7" t="s">
        <v>226</v>
      </c>
      <c r="C171" s="5" t="s">
        <v>24</v>
      </c>
      <c r="D171" s="5" t="s">
        <v>133</v>
      </c>
      <c r="E171" s="5" t="str">
        <f t="shared" si="1"/>
        <v>Accessories</v>
      </c>
      <c r="F171" s="5">
        <v>17.0</v>
      </c>
      <c r="G171" s="5">
        <v>58166.0</v>
      </c>
      <c r="H171" s="5" t="s">
        <v>29</v>
      </c>
      <c r="I171" s="12" t="str">
        <f t="shared" si="2"/>
        <v>Feb</v>
      </c>
      <c r="J171" s="6">
        <f t="shared" si="3"/>
        <v>988822</v>
      </c>
      <c r="K171" s="5" t="s">
        <v>23</v>
      </c>
      <c r="L171" s="5">
        <v>988822.0</v>
      </c>
      <c r="M171" s="6">
        <f t="shared" si="4"/>
        <v>2</v>
      </c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1" t="s">
        <v>573</v>
      </c>
      <c r="B172" s="7">
        <v>45636.0</v>
      </c>
      <c r="C172" s="5" t="s">
        <v>16</v>
      </c>
      <c r="D172" s="5" t="s">
        <v>103</v>
      </c>
      <c r="E172" s="5" t="str">
        <f t="shared" si="1"/>
        <v>Mobiles</v>
      </c>
      <c r="F172" s="5">
        <v>19.0</v>
      </c>
      <c r="G172" s="5">
        <v>55907.0</v>
      </c>
      <c r="H172" s="5" t="s">
        <v>29</v>
      </c>
      <c r="I172" s="12" t="str">
        <f t="shared" si="2"/>
        <v>Oct</v>
      </c>
      <c r="J172" s="6">
        <f t="shared" si="3"/>
        <v>1062233</v>
      </c>
      <c r="K172" s="5" t="s">
        <v>75</v>
      </c>
      <c r="L172" s="5">
        <v>1062233.0</v>
      </c>
      <c r="M172" s="6">
        <f t="shared" si="4"/>
        <v>10</v>
      </c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1" t="s">
        <v>574</v>
      </c>
      <c r="B173" s="7" t="s">
        <v>575</v>
      </c>
      <c r="C173" s="5" t="s">
        <v>19</v>
      </c>
      <c r="D173" s="5" t="s">
        <v>327</v>
      </c>
      <c r="E173" s="5" t="str">
        <f t="shared" si="1"/>
        <v>Laptops</v>
      </c>
      <c r="F173" s="5">
        <v>18.0</v>
      </c>
      <c r="G173" s="5">
        <v>19378.0</v>
      </c>
      <c r="H173" s="5" t="s">
        <v>29</v>
      </c>
      <c r="I173" s="12" t="str">
        <f t="shared" si="2"/>
        <v>Oct</v>
      </c>
      <c r="J173" s="6">
        <f t="shared" si="3"/>
        <v>348804</v>
      </c>
      <c r="K173" s="5" t="s">
        <v>43</v>
      </c>
      <c r="L173" s="5">
        <v>348804.0</v>
      </c>
      <c r="M173" s="6">
        <f t="shared" si="4"/>
        <v>10</v>
      </c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1" t="s">
        <v>576</v>
      </c>
      <c r="B174" s="7">
        <v>45356.0</v>
      </c>
      <c r="C174" s="5" t="s">
        <v>24</v>
      </c>
      <c r="D174" s="5" t="s">
        <v>435</v>
      </c>
      <c r="E174" s="5" t="str">
        <f t="shared" si="1"/>
        <v>Mobiles</v>
      </c>
      <c r="F174" s="5">
        <v>2.0</v>
      </c>
      <c r="G174" s="5">
        <v>77530.0</v>
      </c>
      <c r="H174" s="5" t="s">
        <v>34</v>
      </c>
      <c r="I174" s="12" t="str">
        <f t="shared" si="2"/>
        <v>May</v>
      </c>
      <c r="J174" s="6">
        <f t="shared" si="3"/>
        <v>155060</v>
      </c>
      <c r="K174" s="5" t="s">
        <v>37</v>
      </c>
      <c r="L174" s="5">
        <v>155060.0</v>
      </c>
      <c r="M174" s="6">
        <f t="shared" si="4"/>
        <v>5</v>
      </c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1" t="s">
        <v>578</v>
      </c>
      <c r="B175" s="7">
        <v>45513.0</v>
      </c>
      <c r="C175" s="5" t="s">
        <v>19</v>
      </c>
      <c r="D175" s="5" t="s">
        <v>318</v>
      </c>
      <c r="E175" s="5" t="str">
        <f t="shared" si="1"/>
        <v>Mobiles</v>
      </c>
      <c r="F175" s="5">
        <v>5.0</v>
      </c>
      <c r="G175" s="5">
        <v>73838.0</v>
      </c>
      <c r="H175" s="5" t="s">
        <v>34</v>
      </c>
      <c r="I175" s="12" t="str">
        <f t="shared" si="2"/>
        <v>Sep</v>
      </c>
      <c r="J175" s="6">
        <f t="shared" si="3"/>
        <v>369190</v>
      </c>
      <c r="K175" s="5" t="s">
        <v>75</v>
      </c>
      <c r="L175" s="5">
        <v>369190.0</v>
      </c>
      <c r="M175" s="6">
        <f t="shared" si="4"/>
        <v>9</v>
      </c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1" t="s">
        <v>579</v>
      </c>
      <c r="B176" s="7" t="s">
        <v>580</v>
      </c>
      <c r="C176" s="5" t="s">
        <v>24</v>
      </c>
      <c r="D176" s="5" t="s">
        <v>582</v>
      </c>
      <c r="E176" s="5" t="str">
        <f t="shared" si="1"/>
        <v>Laptops</v>
      </c>
      <c r="F176" s="5">
        <v>15.0</v>
      </c>
      <c r="G176" s="5">
        <v>56796.0</v>
      </c>
      <c r="H176" s="5" t="s">
        <v>20</v>
      </c>
      <c r="I176" s="12" t="str">
        <f t="shared" si="2"/>
        <v>Oct</v>
      </c>
      <c r="J176" s="6">
        <f t="shared" si="3"/>
        <v>0</v>
      </c>
      <c r="K176" s="5" t="s">
        <v>55</v>
      </c>
      <c r="L176" s="5">
        <v>851940.0</v>
      </c>
      <c r="M176" s="6">
        <f t="shared" si="4"/>
        <v>10</v>
      </c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1" t="s">
        <v>583</v>
      </c>
      <c r="B177" s="7" t="s">
        <v>584</v>
      </c>
      <c r="C177" s="5" t="s">
        <v>16</v>
      </c>
      <c r="D177" s="5" t="s">
        <v>577</v>
      </c>
      <c r="E177" s="5" t="str">
        <f t="shared" si="1"/>
        <v>Mobiles</v>
      </c>
      <c r="F177" s="5">
        <v>1.0</v>
      </c>
      <c r="G177" s="5">
        <v>70206.0</v>
      </c>
      <c r="H177" s="5" t="s">
        <v>20</v>
      </c>
      <c r="I177" s="12" t="str">
        <f t="shared" si="2"/>
        <v>Apr</v>
      </c>
      <c r="J177" s="6">
        <f t="shared" si="3"/>
        <v>0</v>
      </c>
      <c r="K177" s="5" t="s">
        <v>37</v>
      </c>
      <c r="L177" s="5">
        <v>70206.0</v>
      </c>
      <c r="M177" s="6">
        <f t="shared" si="4"/>
        <v>4</v>
      </c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1" t="s">
        <v>586</v>
      </c>
      <c r="B178" s="7" t="s">
        <v>410</v>
      </c>
      <c r="C178" s="5" t="s">
        <v>22</v>
      </c>
      <c r="D178" s="5" t="s">
        <v>565</v>
      </c>
      <c r="E178" s="5" t="str">
        <f t="shared" si="1"/>
        <v>Mobiles</v>
      </c>
      <c r="F178" s="5">
        <v>3.0</v>
      </c>
      <c r="G178" s="5">
        <v>47400.0</v>
      </c>
      <c r="H178" s="5" t="s">
        <v>20</v>
      </c>
      <c r="I178" s="12" t="str">
        <f t="shared" si="2"/>
        <v>Jul</v>
      </c>
      <c r="J178" s="6">
        <f t="shared" si="3"/>
        <v>0</v>
      </c>
      <c r="K178" s="5" t="s">
        <v>75</v>
      </c>
      <c r="L178" s="5">
        <v>142200.0</v>
      </c>
      <c r="M178" s="6">
        <f t="shared" si="4"/>
        <v>7</v>
      </c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1" t="s">
        <v>587</v>
      </c>
      <c r="B179" s="7">
        <v>45634.0</v>
      </c>
      <c r="C179" s="5" t="s">
        <v>16</v>
      </c>
      <c r="D179" s="5" t="s">
        <v>321</v>
      </c>
      <c r="E179" s="5" t="str">
        <f t="shared" si="1"/>
        <v>Accessories</v>
      </c>
      <c r="F179" s="5">
        <v>20.0</v>
      </c>
      <c r="G179" s="5">
        <v>18094.0</v>
      </c>
      <c r="H179" s="5" t="s">
        <v>34</v>
      </c>
      <c r="I179" s="12" t="str">
        <f t="shared" si="2"/>
        <v>Aug</v>
      </c>
      <c r="J179" s="6">
        <f t="shared" si="3"/>
        <v>361880</v>
      </c>
      <c r="K179" s="5" t="s">
        <v>23</v>
      </c>
      <c r="L179" s="5">
        <v>361880.0</v>
      </c>
      <c r="M179" s="6">
        <f t="shared" si="4"/>
        <v>8</v>
      </c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1" t="s">
        <v>588</v>
      </c>
      <c r="B180" s="7" t="s">
        <v>15</v>
      </c>
      <c r="C180" s="5" t="s">
        <v>16</v>
      </c>
      <c r="D180" s="5" t="s">
        <v>137</v>
      </c>
      <c r="E180" s="5" t="str">
        <f t="shared" si="1"/>
        <v>Laptops</v>
      </c>
      <c r="F180" s="5">
        <v>14.0</v>
      </c>
      <c r="G180" s="5">
        <v>68250.0</v>
      </c>
      <c r="H180" s="5" t="s">
        <v>29</v>
      </c>
      <c r="I180" s="12" t="str">
        <f t="shared" si="2"/>
        <v>Nov</v>
      </c>
      <c r="J180" s="6">
        <f t="shared" si="3"/>
        <v>955500</v>
      </c>
      <c r="K180" s="5" t="s">
        <v>43</v>
      </c>
      <c r="L180" s="5">
        <v>955500.0</v>
      </c>
      <c r="M180" s="6">
        <f t="shared" si="4"/>
        <v>11</v>
      </c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1" t="s">
        <v>591</v>
      </c>
      <c r="B181" s="7">
        <v>45451.0</v>
      </c>
      <c r="C181" s="5" t="s">
        <v>24</v>
      </c>
      <c r="D181" s="5" t="s">
        <v>442</v>
      </c>
      <c r="E181" s="5" t="str">
        <f t="shared" si="1"/>
        <v>Accessories</v>
      </c>
      <c r="F181" s="5">
        <v>2.0</v>
      </c>
      <c r="G181" s="5">
        <v>73383.0</v>
      </c>
      <c r="H181" s="5" t="s">
        <v>34</v>
      </c>
      <c r="I181" s="12" t="str">
        <f t="shared" si="2"/>
        <v>Aug</v>
      </c>
      <c r="J181" s="6">
        <f t="shared" si="3"/>
        <v>146766</v>
      </c>
      <c r="K181" s="5" t="s">
        <v>30</v>
      </c>
      <c r="L181" s="5">
        <v>146766.0</v>
      </c>
      <c r="M181" s="6">
        <f t="shared" si="4"/>
        <v>8</v>
      </c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1" t="s">
        <v>592</v>
      </c>
      <c r="B182" s="7">
        <v>45544.0</v>
      </c>
      <c r="C182" s="5" t="s">
        <v>19</v>
      </c>
      <c r="D182" s="5" t="s">
        <v>90</v>
      </c>
      <c r="E182" s="5" t="str">
        <f t="shared" si="1"/>
        <v>Mobiles</v>
      </c>
      <c r="F182" s="5">
        <v>15.0</v>
      </c>
      <c r="G182" s="5">
        <v>76020.0</v>
      </c>
      <c r="H182" s="5" t="s">
        <v>34</v>
      </c>
      <c r="I182" s="12" t="str">
        <f t="shared" si="2"/>
        <v>Sep</v>
      </c>
      <c r="J182" s="6">
        <f t="shared" si="3"/>
        <v>1140300</v>
      </c>
      <c r="K182" s="5" t="s">
        <v>37</v>
      </c>
      <c r="L182" s="5">
        <v>1140300.0</v>
      </c>
      <c r="M182" s="6">
        <f t="shared" si="4"/>
        <v>9</v>
      </c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1" t="s">
        <v>594</v>
      </c>
      <c r="B183" s="7">
        <v>45599.0</v>
      </c>
      <c r="C183" s="5" t="s">
        <v>19</v>
      </c>
      <c r="D183" s="5" t="s">
        <v>454</v>
      </c>
      <c r="E183" s="5" t="str">
        <f t="shared" si="1"/>
        <v>Mobiles</v>
      </c>
      <c r="F183" s="5">
        <v>2.0</v>
      </c>
      <c r="G183" s="5">
        <v>64011.0</v>
      </c>
      <c r="H183" s="5" t="s">
        <v>29</v>
      </c>
      <c r="I183" s="12" t="str">
        <f t="shared" si="2"/>
        <v>Mar</v>
      </c>
      <c r="J183" s="6">
        <f t="shared" si="3"/>
        <v>128022</v>
      </c>
      <c r="K183" s="5" t="s">
        <v>37</v>
      </c>
      <c r="L183" s="5">
        <v>128022.0</v>
      </c>
      <c r="M183" s="6">
        <f t="shared" si="4"/>
        <v>3</v>
      </c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1" t="s">
        <v>596</v>
      </c>
      <c r="B184" s="7">
        <v>45605.0</v>
      </c>
      <c r="C184" s="5" t="s">
        <v>16</v>
      </c>
      <c r="D184" s="5" t="s">
        <v>280</v>
      </c>
      <c r="E184" s="5" t="str">
        <f t="shared" si="1"/>
        <v>Accessories</v>
      </c>
      <c r="F184" s="5">
        <v>6.0</v>
      </c>
      <c r="G184" s="5">
        <v>78541.0</v>
      </c>
      <c r="H184" s="5" t="s">
        <v>29</v>
      </c>
      <c r="I184" s="12" t="str">
        <f t="shared" si="2"/>
        <v>Sep</v>
      </c>
      <c r="J184" s="6">
        <f t="shared" si="3"/>
        <v>471246</v>
      </c>
      <c r="K184" s="5" t="s">
        <v>23</v>
      </c>
      <c r="L184" s="5">
        <v>471246.0</v>
      </c>
      <c r="M184" s="6">
        <f t="shared" si="4"/>
        <v>9</v>
      </c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1" t="s">
        <v>597</v>
      </c>
      <c r="B185" s="7" t="s">
        <v>353</v>
      </c>
      <c r="C185" s="5" t="s">
        <v>24</v>
      </c>
      <c r="D185" s="5" t="s">
        <v>542</v>
      </c>
      <c r="E185" s="5" t="str">
        <f t="shared" si="1"/>
        <v>Accessories</v>
      </c>
      <c r="F185" s="5">
        <v>2.0</v>
      </c>
      <c r="G185" s="5">
        <v>16063.0</v>
      </c>
      <c r="H185" s="5" t="s">
        <v>29</v>
      </c>
      <c r="I185" s="12" t="str">
        <f t="shared" si="2"/>
        <v>Mar</v>
      </c>
      <c r="J185" s="6">
        <f t="shared" si="3"/>
        <v>32126</v>
      </c>
      <c r="K185" s="5" t="s">
        <v>30</v>
      </c>
      <c r="L185" s="5">
        <v>32126.0</v>
      </c>
      <c r="M185" s="6">
        <f t="shared" si="4"/>
        <v>3</v>
      </c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1" t="s">
        <v>599</v>
      </c>
      <c r="B186" s="7" t="s">
        <v>506</v>
      </c>
      <c r="C186" s="5" t="s">
        <v>19</v>
      </c>
      <c r="D186" s="5" t="s">
        <v>585</v>
      </c>
      <c r="E186" s="5" t="str">
        <f t="shared" si="1"/>
        <v>Accessories</v>
      </c>
      <c r="F186" s="5">
        <v>8.0</v>
      </c>
      <c r="G186" s="5">
        <v>69565.0</v>
      </c>
      <c r="H186" s="5" t="s">
        <v>20</v>
      </c>
      <c r="I186" s="12" t="str">
        <f t="shared" si="2"/>
        <v>Sep</v>
      </c>
      <c r="J186" s="6">
        <f t="shared" si="3"/>
        <v>0</v>
      </c>
      <c r="K186" s="5" t="s">
        <v>85</v>
      </c>
      <c r="L186" s="5">
        <v>556520.0</v>
      </c>
      <c r="M186" s="6">
        <f t="shared" si="4"/>
        <v>9</v>
      </c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1" t="s">
        <v>600</v>
      </c>
      <c r="B187" s="7" t="s">
        <v>601</v>
      </c>
      <c r="C187" s="5" t="s">
        <v>24</v>
      </c>
      <c r="D187" s="5" t="s">
        <v>602</v>
      </c>
      <c r="E187" s="5" t="str">
        <f t="shared" si="1"/>
        <v>Accessories</v>
      </c>
      <c r="F187" s="5">
        <v>14.0</v>
      </c>
      <c r="G187" s="5">
        <v>29498.0</v>
      </c>
      <c r="H187" s="5" t="s">
        <v>20</v>
      </c>
      <c r="I187" s="12" t="str">
        <f t="shared" si="2"/>
        <v>Apr</v>
      </c>
      <c r="J187" s="6">
        <f t="shared" si="3"/>
        <v>0</v>
      </c>
      <c r="K187" s="5" t="s">
        <v>85</v>
      </c>
      <c r="L187" s="5">
        <v>412972.0</v>
      </c>
      <c r="M187" s="6">
        <f t="shared" si="4"/>
        <v>4</v>
      </c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1" t="s">
        <v>604</v>
      </c>
      <c r="B188" s="7" t="s">
        <v>605</v>
      </c>
      <c r="C188" s="5" t="s">
        <v>24</v>
      </c>
      <c r="D188" s="5" t="s">
        <v>125</v>
      </c>
      <c r="E188" s="5" t="str">
        <f t="shared" si="1"/>
        <v>Laptops</v>
      </c>
      <c r="F188" s="5">
        <v>14.0</v>
      </c>
      <c r="G188" s="5">
        <v>71802.0</v>
      </c>
      <c r="H188" s="5" t="s">
        <v>29</v>
      </c>
      <c r="I188" s="12" t="str">
        <f t="shared" si="2"/>
        <v>Dec</v>
      </c>
      <c r="J188" s="6">
        <f t="shared" si="3"/>
        <v>1005228</v>
      </c>
      <c r="K188" s="5" t="s">
        <v>55</v>
      </c>
      <c r="L188" s="5">
        <v>1005228.0</v>
      </c>
      <c r="M188" s="6">
        <f t="shared" si="4"/>
        <v>12</v>
      </c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1" t="s">
        <v>606</v>
      </c>
      <c r="B189" s="7" t="s">
        <v>607</v>
      </c>
      <c r="C189" s="5" t="s">
        <v>24</v>
      </c>
      <c r="D189" s="5" t="s">
        <v>63</v>
      </c>
      <c r="E189" s="5" t="str">
        <f t="shared" si="1"/>
        <v>Accessories</v>
      </c>
      <c r="F189" s="5">
        <v>20.0</v>
      </c>
      <c r="G189" s="5">
        <v>62540.0</v>
      </c>
      <c r="H189" s="5" t="s">
        <v>29</v>
      </c>
      <c r="I189" s="12" t="str">
        <f t="shared" si="2"/>
        <v>May</v>
      </c>
      <c r="J189" s="6">
        <f t="shared" si="3"/>
        <v>1250800</v>
      </c>
      <c r="K189" s="5" t="s">
        <v>30</v>
      </c>
      <c r="L189" s="5">
        <v>1250800.0</v>
      </c>
      <c r="M189" s="6">
        <f t="shared" si="4"/>
        <v>5</v>
      </c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1" t="s">
        <v>609</v>
      </c>
      <c r="B190" s="7" t="s">
        <v>427</v>
      </c>
      <c r="C190" s="5" t="s">
        <v>19</v>
      </c>
      <c r="D190" s="5" t="s">
        <v>603</v>
      </c>
      <c r="E190" s="5" t="str">
        <f t="shared" si="1"/>
        <v>Mobiles</v>
      </c>
      <c r="F190" s="5">
        <v>9.0</v>
      </c>
      <c r="G190" s="5">
        <v>51149.0</v>
      </c>
      <c r="H190" s="5" t="s">
        <v>20</v>
      </c>
      <c r="I190" s="12" t="str">
        <f t="shared" si="2"/>
        <v>Mar</v>
      </c>
      <c r="J190" s="6">
        <f t="shared" si="3"/>
        <v>0</v>
      </c>
      <c r="K190" s="5" t="s">
        <v>75</v>
      </c>
      <c r="L190" s="5">
        <v>460341.0</v>
      </c>
      <c r="M190" s="6">
        <f t="shared" si="4"/>
        <v>3</v>
      </c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1" t="s">
        <v>610</v>
      </c>
      <c r="B191" s="7" t="s">
        <v>160</v>
      </c>
      <c r="C191" s="5" t="s">
        <v>24</v>
      </c>
      <c r="D191" s="5" t="s">
        <v>224</v>
      </c>
      <c r="E191" s="5" t="str">
        <f t="shared" si="1"/>
        <v>Laptops</v>
      </c>
      <c r="F191" s="5">
        <v>8.0</v>
      </c>
      <c r="G191" s="5">
        <v>79653.0</v>
      </c>
      <c r="H191" s="5" t="s">
        <v>34</v>
      </c>
      <c r="I191" s="12" t="str">
        <f t="shared" si="2"/>
        <v>Jan</v>
      </c>
      <c r="J191" s="6">
        <f t="shared" si="3"/>
        <v>637224</v>
      </c>
      <c r="K191" s="5" t="s">
        <v>55</v>
      </c>
      <c r="L191" s="5">
        <v>637224.0</v>
      </c>
      <c r="M191" s="6">
        <f t="shared" si="4"/>
        <v>1</v>
      </c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1" t="s">
        <v>613</v>
      </c>
      <c r="B192" s="7" t="s">
        <v>614</v>
      </c>
      <c r="C192" s="5" t="s">
        <v>22</v>
      </c>
      <c r="D192" s="5" t="s">
        <v>511</v>
      </c>
      <c r="E192" s="5" t="str">
        <f t="shared" si="1"/>
        <v>Laptops</v>
      </c>
      <c r="F192" s="5">
        <v>8.0</v>
      </c>
      <c r="G192" s="5">
        <v>6406.0</v>
      </c>
      <c r="H192" s="5" t="s">
        <v>34</v>
      </c>
      <c r="I192" s="12" t="str">
        <f t="shared" si="2"/>
        <v>Nov</v>
      </c>
      <c r="J192" s="6">
        <f t="shared" si="3"/>
        <v>51248</v>
      </c>
      <c r="K192" s="5" t="s">
        <v>43</v>
      </c>
      <c r="L192" s="5">
        <v>51248.0</v>
      </c>
      <c r="M192" s="6">
        <f t="shared" si="4"/>
        <v>11</v>
      </c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1" t="s">
        <v>616</v>
      </c>
      <c r="B193" s="7">
        <v>45516.0</v>
      </c>
      <c r="C193" s="5" t="s">
        <v>22</v>
      </c>
      <c r="D193" s="5" t="s">
        <v>612</v>
      </c>
      <c r="E193" s="5" t="str">
        <f t="shared" si="1"/>
        <v>Laptops</v>
      </c>
      <c r="F193" s="5">
        <v>6.0</v>
      </c>
      <c r="G193" s="5">
        <v>15625.0</v>
      </c>
      <c r="H193" s="5" t="s">
        <v>20</v>
      </c>
      <c r="I193" s="12" t="str">
        <f t="shared" si="2"/>
        <v>Dec</v>
      </c>
      <c r="J193" s="6">
        <f t="shared" si="3"/>
        <v>0</v>
      </c>
      <c r="K193" s="5" t="s">
        <v>55</v>
      </c>
      <c r="L193" s="5">
        <v>93750.0</v>
      </c>
      <c r="M193" s="6">
        <f t="shared" si="4"/>
        <v>12</v>
      </c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1" t="s">
        <v>617</v>
      </c>
      <c r="B194" s="7" t="s">
        <v>618</v>
      </c>
      <c r="C194" s="5" t="s">
        <v>22</v>
      </c>
      <c r="D194" s="5" t="s">
        <v>484</v>
      </c>
      <c r="E194" s="5" t="str">
        <f t="shared" si="1"/>
        <v>Mobiles</v>
      </c>
      <c r="F194" s="5">
        <v>18.0</v>
      </c>
      <c r="G194" s="5">
        <v>4331.0</v>
      </c>
      <c r="H194" s="5" t="s">
        <v>29</v>
      </c>
      <c r="I194" s="12" t="str">
        <f t="shared" si="2"/>
        <v>Jul</v>
      </c>
      <c r="J194" s="6">
        <f t="shared" si="3"/>
        <v>77958</v>
      </c>
      <c r="K194" s="5" t="s">
        <v>75</v>
      </c>
      <c r="L194" s="5">
        <v>77958.0</v>
      </c>
      <c r="M194" s="6">
        <f t="shared" si="4"/>
        <v>7</v>
      </c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1" t="s">
        <v>619</v>
      </c>
      <c r="B195" s="7" t="s">
        <v>620</v>
      </c>
      <c r="C195" s="5" t="s">
        <v>22</v>
      </c>
      <c r="D195" s="5" t="s">
        <v>212</v>
      </c>
      <c r="E195" s="5" t="str">
        <f t="shared" si="1"/>
        <v>Mobiles</v>
      </c>
      <c r="F195" s="5">
        <v>9.0</v>
      </c>
      <c r="G195" s="5">
        <v>74618.0</v>
      </c>
      <c r="H195" s="5" t="s">
        <v>34</v>
      </c>
      <c r="I195" s="12" t="str">
        <f t="shared" si="2"/>
        <v>Mar</v>
      </c>
      <c r="J195" s="6">
        <f t="shared" si="3"/>
        <v>671562</v>
      </c>
      <c r="K195" s="5" t="s">
        <v>37</v>
      </c>
      <c r="L195" s="5">
        <v>671562.0</v>
      </c>
      <c r="M195" s="6">
        <f t="shared" si="4"/>
        <v>3</v>
      </c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1" t="s">
        <v>622</v>
      </c>
      <c r="B196" s="7" t="s">
        <v>530</v>
      </c>
      <c r="C196" s="5" t="s">
        <v>19</v>
      </c>
      <c r="D196" s="5" t="s">
        <v>240</v>
      </c>
      <c r="E196" s="5" t="str">
        <f t="shared" si="1"/>
        <v>Laptops</v>
      </c>
      <c r="F196" s="5">
        <v>18.0</v>
      </c>
      <c r="G196" s="5">
        <v>31029.0</v>
      </c>
      <c r="H196" s="5" t="s">
        <v>29</v>
      </c>
      <c r="I196" s="12" t="str">
        <f t="shared" si="2"/>
        <v>Aug</v>
      </c>
      <c r="J196" s="6">
        <f t="shared" si="3"/>
        <v>558522</v>
      </c>
      <c r="K196" s="5" t="s">
        <v>55</v>
      </c>
      <c r="L196" s="5">
        <v>558522.0</v>
      </c>
      <c r="M196" s="6">
        <f t="shared" si="4"/>
        <v>8</v>
      </c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1" t="s">
        <v>623</v>
      </c>
      <c r="B197" s="7" t="s">
        <v>624</v>
      </c>
      <c r="C197" s="5" t="s">
        <v>22</v>
      </c>
      <c r="D197" s="5" t="s">
        <v>611</v>
      </c>
      <c r="E197" s="5" t="str">
        <f t="shared" si="1"/>
        <v>Accessories</v>
      </c>
      <c r="F197" s="5">
        <v>15.0</v>
      </c>
      <c r="G197" s="5">
        <v>34577.0</v>
      </c>
      <c r="H197" s="5" t="s">
        <v>20</v>
      </c>
      <c r="I197" s="12" t="str">
        <f t="shared" si="2"/>
        <v>Sep</v>
      </c>
      <c r="J197" s="6">
        <f t="shared" si="3"/>
        <v>0</v>
      </c>
      <c r="K197" s="5" t="s">
        <v>30</v>
      </c>
      <c r="L197" s="5">
        <v>518655.0</v>
      </c>
      <c r="M197" s="6">
        <f t="shared" si="4"/>
        <v>9</v>
      </c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1" t="s">
        <v>626</v>
      </c>
      <c r="B198" s="7" t="s">
        <v>627</v>
      </c>
      <c r="C198" s="5" t="s">
        <v>24</v>
      </c>
      <c r="D198" s="5" t="s">
        <v>109</v>
      </c>
      <c r="E198" s="5" t="str">
        <f t="shared" si="1"/>
        <v>Accessories</v>
      </c>
      <c r="F198" s="5">
        <v>18.0</v>
      </c>
      <c r="G198" s="5">
        <v>58442.0</v>
      </c>
      <c r="H198" s="5" t="s">
        <v>34</v>
      </c>
      <c r="I198" s="12" t="str">
        <f t="shared" si="2"/>
        <v>Dec</v>
      </c>
      <c r="J198" s="6">
        <f t="shared" si="3"/>
        <v>1051956</v>
      </c>
      <c r="K198" s="5" t="s">
        <v>23</v>
      </c>
      <c r="L198" s="5">
        <v>1051956.0</v>
      </c>
      <c r="M198" s="6">
        <f t="shared" si="4"/>
        <v>12</v>
      </c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1" t="s">
        <v>628</v>
      </c>
      <c r="B199" s="7" t="s">
        <v>629</v>
      </c>
      <c r="C199" s="5" t="s">
        <v>22</v>
      </c>
      <c r="D199" s="5" t="s">
        <v>154</v>
      </c>
      <c r="E199" s="5" t="str">
        <f t="shared" si="1"/>
        <v>Laptops</v>
      </c>
      <c r="F199" s="5">
        <v>11.0</v>
      </c>
      <c r="G199" s="5">
        <v>79427.0</v>
      </c>
      <c r="H199" s="5" t="s">
        <v>29</v>
      </c>
      <c r="I199" s="12" t="str">
        <f t="shared" si="2"/>
        <v>Oct</v>
      </c>
      <c r="J199" s="6">
        <f t="shared" si="3"/>
        <v>873697</v>
      </c>
      <c r="K199" s="5" t="s">
        <v>43</v>
      </c>
      <c r="L199" s="5">
        <v>873697.0</v>
      </c>
      <c r="M199" s="6">
        <f t="shared" si="4"/>
        <v>10</v>
      </c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1" t="s">
        <v>630</v>
      </c>
      <c r="B200" s="7" t="s">
        <v>631</v>
      </c>
      <c r="C200" s="5" t="s">
        <v>22</v>
      </c>
      <c r="D200" s="5" t="s">
        <v>389</v>
      </c>
      <c r="E200" s="5" t="str">
        <f t="shared" si="1"/>
        <v>Laptops</v>
      </c>
      <c r="F200" s="5">
        <v>5.0</v>
      </c>
      <c r="G200" s="5">
        <v>48213.0</v>
      </c>
      <c r="H200" s="5" t="s">
        <v>34</v>
      </c>
      <c r="I200" s="12" t="str">
        <f t="shared" si="2"/>
        <v>Mar</v>
      </c>
      <c r="J200" s="6">
        <f t="shared" si="3"/>
        <v>241065</v>
      </c>
      <c r="K200" s="5" t="s">
        <v>55</v>
      </c>
      <c r="L200" s="5">
        <v>241065.0</v>
      </c>
      <c r="M200" s="6">
        <f t="shared" si="4"/>
        <v>3</v>
      </c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1" t="s">
        <v>632</v>
      </c>
      <c r="B201" s="7" t="s">
        <v>633</v>
      </c>
      <c r="C201" s="5" t="s">
        <v>19</v>
      </c>
      <c r="D201" s="5" t="s">
        <v>479</v>
      </c>
      <c r="E201" s="5" t="str">
        <f t="shared" si="1"/>
        <v>Laptops</v>
      </c>
      <c r="F201" s="5">
        <v>19.0</v>
      </c>
      <c r="G201" s="5">
        <v>4456.0</v>
      </c>
      <c r="H201" s="5" t="s">
        <v>34</v>
      </c>
      <c r="I201" s="12" t="str">
        <f t="shared" si="2"/>
        <v>Jul</v>
      </c>
      <c r="J201" s="6">
        <f t="shared" si="3"/>
        <v>84664</v>
      </c>
      <c r="K201" s="5" t="s">
        <v>55</v>
      </c>
      <c r="L201" s="5">
        <v>84664.0</v>
      </c>
      <c r="M201" s="6">
        <f t="shared" si="4"/>
        <v>7</v>
      </c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1" t="s">
        <v>634</v>
      </c>
      <c r="B202" s="7" t="s">
        <v>635</v>
      </c>
      <c r="C202" s="5" t="s">
        <v>22</v>
      </c>
      <c r="D202" s="5" t="s">
        <v>581</v>
      </c>
      <c r="E202" s="5" t="str">
        <f t="shared" si="1"/>
        <v>Mobiles</v>
      </c>
      <c r="F202" s="5">
        <v>18.0</v>
      </c>
      <c r="G202" s="5">
        <v>58924.0</v>
      </c>
      <c r="H202" s="5" t="s">
        <v>20</v>
      </c>
      <c r="I202" s="12" t="str">
        <f t="shared" si="2"/>
        <v>Dec</v>
      </c>
      <c r="J202" s="6">
        <f t="shared" si="3"/>
        <v>0</v>
      </c>
      <c r="K202" s="5" t="s">
        <v>75</v>
      </c>
      <c r="L202" s="5">
        <v>1060632.0</v>
      </c>
      <c r="M202" s="6">
        <f t="shared" si="4"/>
        <v>12</v>
      </c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1" t="s">
        <v>636</v>
      </c>
      <c r="B203" s="7" t="s">
        <v>182</v>
      </c>
      <c r="C203" s="5" t="s">
        <v>22</v>
      </c>
      <c r="D203" s="5" t="s">
        <v>244</v>
      </c>
      <c r="E203" s="5" t="str">
        <f t="shared" si="1"/>
        <v>Mobiles</v>
      </c>
      <c r="F203" s="5">
        <v>7.0</v>
      </c>
      <c r="G203" s="5">
        <v>79765.0</v>
      </c>
      <c r="H203" s="5" t="s">
        <v>34</v>
      </c>
      <c r="I203" s="12" t="str">
        <f t="shared" si="2"/>
        <v>Aug</v>
      </c>
      <c r="J203" s="6">
        <f t="shared" si="3"/>
        <v>558355</v>
      </c>
      <c r="K203" s="5" t="s">
        <v>37</v>
      </c>
      <c r="L203" s="5">
        <v>558355.0</v>
      </c>
      <c r="M203" s="6">
        <f t="shared" si="4"/>
        <v>8</v>
      </c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1" t="s">
        <v>637</v>
      </c>
      <c r="B204" s="7">
        <v>45331.0</v>
      </c>
      <c r="C204" s="5" t="s">
        <v>24</v>
      </c>
      <c r="D204" s="5" t="s">
        <v>143</v>
      </c>
      <c r="E204" s="5" t="str">
        <f t="shared" si="1"/>
        <v>Mobiles</v>
      </c>
      <c r="F204" s="5">
        <v>13.0</v>
      </c>
      <c r="G204" s="5">
        <v>71685.0</v>
      </c>
      <c r="H204" s="5" t="s">
        <v>29</v>
      </c>
      <c r="I204" s="12" t="str">
        <f t="shared" si="2"/>
        <v>Sep</v>
      </c>
      <c r="J204" s="6">
        <f t="shared" si="3"/>
        <v>931905</v>
      </c>
      <c r="K204" s="5" t="s">
        <v>75</v>
      </c>
      <c r="L204" s="5">
        <v>931905.0</v>
      </c>
      <c r="M204" s="6">
        <f t="shared" si="4"/>
        <v>9</v>
      </c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1" t="s">
        <v>639</v>
      </c>
      <c r="B205" s="7">
        <v>45507.0</v>
      </c>
      <c r="C205" s="5" t="s">
        <v>16</v>
      </c>
      <c r="D205" s="5" t="s">
        <v>214</v>
      </c>
      <c r="E205" s="5" t="str">
        <f t="shared" si="1"/>
        <v>Mobiles</v>
      </c>
      <c r="F205" s="5">
        <v>10.0</v>
      </c>
      <c r="G205" s="5">
        <v>66661.0</v>
      </c>
      <c r="H205" s="5" t="s">
        <v>29</v>
      </c>
      <c r="I205" s="12" t="str">
        <f t="shared" si="2"/>
        <v>Mar</v>
      </c>
      <c r="J205" s="6">
        <f t="shared" si="3"/>
        <v>666610</v>
      </c>
      <c r="K205" s="5" t="s">
        <v>37</v>
      </c>
      <c r="L205" s="5">
        <v>666610.0</v>
      </c>
      <c r="M205" s="6">
        <f t="shared" si="4"/>
        <v>3</v>
      </c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1" t="s">
        <v>641</v>
      </c>
      <c r="B206" s="7">
        <v>45445.0</v>
      </c>
      <c r="C206" s="5" t="s">
        <v>19</v>
      </c>
      <c r="D206" s="5" t="s">
        <v>393</v>
      </c>
      <c r="E206" s="5" t="str">
        <f t="shared" si="1"/>
        <v>Accessories</v>
      </c>
      <c r="F206" s="5">
        <v>3.0</v>
      </c>
      <c r="G206" s="5">
        <v>77697.0</v>
      </c>
      <c r="H206" s="5" t="s">
        <v>29</v>
      </c>
      <c r="I206" s="12" t="str">
        <f t="shared" si="2"/>
        <v>Feb</v>
      </c>
      <c r="J206" s="6">
        <f t="shared" si="3"/>
        <v>233091</v>
      </c>
      <c r="K206" s="5" t="s">
        <v>23</v>
      </c>
      <c r="L206" s="5">
        <v>233091.0</v>
      </c>
      <c r="M206" s="6">
        <f t="shared" si="4"/>
        <v>2</v>
      </c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1" t="s">
        <v>644</v>
      </c>
      <c r="B207" s="7" t="s">
        <v>645</v>
      </c>
      <c r="C207" s="5" t="s">
        <v>22</v>
      </c>
      <c r="D207" s="5" t="s">
        <v>199</v>
      </c>
      <c r="E207" s="5" t="str">
        <f t="shared" si="1"/>
        <v>Laptops</v>
      </c>
      <c r="F207" s="5">
        <v>12.0</v>
      </c>
      <c r="G207" s="5">
        <v>57269.0</v>
      </c>
      <c r="H207" s="5" t="s">
        <v>34</v>
      </c>
      <c r="I207" s="12" t="str">
        <f t="shared" si="2"/>
        <v>Aug</v>
      </c>
      <c r="J207" s="6">
        <f t="shared" si="3"/>
        <v>687228</v>
      </c>
      <c r="K207" s="5" t="s">
        <v>55</v>
      </c>
      <c r="L207" s="5">
        <v>687228.0</v>
      </c>
      <c r="M207" s="6">
        <f t="shared" si="4"/>
        <v>8</v>
      </c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1" t="s">
        <v>646</v>
      </c>
      <c r="B208" s="7">
        <v>45326.0</v>
      </c>
      <c r="C208" s="5" t="s">
        <v>24</v>
      </c>
      <c r="D208" s="5" t="s">
        <v>537</v>
      </c>
      <c r="E208" s="5" t="str">
        <f t="shared" si="1"/>
        <v>Accessories</v>
      </c>
      <c r="F208" s="5">
        <v>2.0</v>
      </c>
      <c r="G208" s="5">
        <v>17190.0</v>
      </c>
      <c r="H208" s="5" t="s">
        <v>34</v>
      </c>
      <c r="I208" s="12" t="str">
        <f t="shared" si="2"/>
        <v>Apr</v>
      </c>
      <c r="J208" s="6">
        <f t="shared" si="3"/>
        <v>34380</v>
      </c>
      <c r="K208" s="5" t="s">
        <v>23</v>
      </c>
      <c r="L208" s="5">
        <v>34380.0</v>
      </c>
      <c r="M208" s="6">
        <f t="shared" si="4"/>
        <v>4</v>
      </c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1" t="s">
        <v>647</v>
      </c>
      <c r="B209" s="7" t="s">
        <v>648</v>
      </c>
      <c r="C209" s="5" t="s">
        <v>16</v>
      </c>
      <c r="D209" s="5" t="s">
        <v>198</v>
      </c>
      <c r="E209" s="5" t="str">
        <f t="shared" si="1"/>
        <v>Mobiles</v>
      </c>
      <c r="F209" s="5">
        <v>19.0</v>
      </c>
      <c r="G209" s="5">
        <v>36318.0</v>
      </c>
      <c r="H209" s="5" t="s">
        <v>34</v>
      </c>
      <c r="I209" s="12" t="str">
        <f t="shared" si="2"/>
        <v>Jan</v>
      </c>
      <c r="J209" s="6">
        <f t="shared" si="3"/>
        <v>690042</v>
      </c>
      <c r="K209" s="5" t="s">
        <v>75</v>
      </c>
      <c r="L209" s="5">
        <v>690042.0</v>
      </c>
      <c r="M209" s="6">
        <f t="shared" si="4"/>
        <v>1</v>
      </c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1" t="s">
        <v>649</v>
      </c>
      <c r="B210" s="7" t="s">
        <v>506</v>
      </c>
      <c r="C210" s="5" t="s">
        <v>24</v>
      </c>
      <c r="D210" s="5" t="s">
        <v>518</v>
      </c>
      <c r="E210" s="5" t="str">
        <f t="shared" si="1"/>
        <v>Laptops</v>
      </c>
      <c r="F210" s="5">
        <v>2.0</v>
      </c>
      <c r="G210" s="5">
        <v>25426.0</v>
      </c>
      <c r="H210" s="5" t="s">
        <v>29</v>
      </c>
      <c r="I210" s="12" t="str">
        <f t="shared" si="2"/>
        <v>Sep</v>
      </c>
      <c r="J210" s="6">
        <f t="shared" si="3"/>
        <v>50852</v>
      </c>
      <c r="K210" s="5" t="s">
        <v>43</v>
      </c>
      <c r="L210" s="5">
        <v>50852.0</v>
      </c>
      <c r="M210" s="6">
        <f t="shared" si="4"/>
        <v>9</v>
      </c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1" t="s">
        <v>650</v>
      </c>
      <c r="B211" s="7" t="s">
        <v>651</v>
      </c>
      <c r="C211" s="5" t="s">
        <v>19</v>
      </c>
      <c r="D211" s="5" t="s">
        <v>295</v>
      </c>
      <c r="E211" s="5" t="str">
        <f t="shared" si="1"/>
        <v>Laptops</v>
      </c>
      <c r="F211" s="5">
        <v>6.0</v>
      </c>
      <c r="G211" s="5">
        <v>68539.0</v>
      </c>
      <c r="H211" s="5" t="s">
        <v>34</v>
      </c>
      <c r="I211" s="12" t="str">
        <f t="shared" si="2"/>
        <v>Jan</v>
      </c>
      <c r="J211" s="6">
        <f t="shared" si="3"/>
        <v>411234</v>
      </c>
      <c r="K211" s="5" t="s">
        <v>43</v>
      </c>
      <c r="L211" s="5">
        <v>411234.0</v>
      </c>
      <c r="M211" s="6">
        <f t="shared" si="4"/>
        <v>1</v>
      </c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1" t="s">
        <v>653</v>
      </c>
      <c r="B212" s="7">
        <v>45393.0</v>
      </c>
      <c r="C212" s="5" t="s">
        <v>19</v>
      </c>
      <c r="D212" s="5" t="s">
        <v>533</v>
      </c>
      <c r="E212" s="5" t="str">
        <f t="shared" si="1"/>
        <v>Mobiles</v>
      </c>
      <c r="F212" s="5">
        <v>20.0</v>
      </c>
      <c r="G212" s="5">
        <v>1805.0</v>
      </c>
      <c r="H212" s="5" t="s">
        <v>34</v>
      </c>
      <c r="I212" s="12" t="str">
        <f t="shared" si="2"/>
        <v>Nov</v>
      </c>
      <c r="J212" s="6">
        <f t="shared" si="3"/>
        <v>36100</v>
      </c>
      <c r="K212" s="5" t="s">
        <v>37</v>
      </c>
      <c r="L212" s="5">
        <v>36100.0</v>
      </c>
      <c r="M212" s="6">
        <f t="shared" si="4"/>
        <v>11</v>
      </c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1" t="s">
        <v>655</v>
      </c>
      <c r="B213" s="7">
        <v>45354.0</v>
      </c>
      <c r="C213" s="5" t="s">
        <v>22</v>
      </c>
      <c r="D213" s="5" t="s">
        <v>147</v>
      </c>
      <c r="E213" s="5" t="str">
        <f t="shared" si="1"/>
        <v>Accessories</v>
      </c>
      <c r="F213" s="5">
        <v>15.0</v>
      </c>
      <c r="G213" s="5">
        <v>59293.0</v>
      </c>
      <c r="H213" s="5" t="s">
        <v>29</v>
      </c>
      <c r="I213" s="12" t="str">
        <f t="shared" si="2"/>
        <v>Mar</v>
      </c>
      <c r="J213" s="6">
        <f t="shared" si="3"/>
        <v>889395</v>
      </c>
      <c r="K213" s="5" t="s">
        <v>23</v>
      </c>
      <c r="L213" s="5">
        <v>889395.0</v>
      </c>
      <c r="M213" s="6">
        <f t="shared" si="4"/>
        <v>3</v>
      </c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1" t="s">
        <v>656</v>
      </c>
      <c r="B214" s="7" t="s">
        <v>657</v>
      </c>
      <c r="C214" s="5" t="s">
        <v>16</v>
      </c>
      <c r="D214" s="5" t="s">
        <v>175</v>
      </c>
      <c r="E214" s="5" t="str">
        <f t="shared" si="1"/>
        <v>Mobiles</v>
      </c>
      <c r="F214" s="5">
        <v>17.0</v>
      </c>
      <c r="G214" s="5">
        <v>47156.0</v>
      </c>
      <c r="H214" s="5" t="s">
        <v>34</v>
      </c>
      <c r="I214" s="12" t="str">
        <f t="shared" si="2"/>
        <v>Sep</v>
      </c>
      <c r="J214" s="6">
        <f t="shared" si="3"/>
        <v>801652</v>
      </c>
      <c r="K214" s="5" t="s">
        <v>37</v>
      </c>
      <c r="L214" s="5">
        <v>801652.0</v>
      </c>
      <c r="M214" s="6">
        <f t="shared" si="4"/>
        <v>9</v>
      </c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1" t="s">
        <v>658</v>
      </c>
      <c r="B215" s="7" t="s">
        <v>139</v>
      </c>
      <c r="C215" s="5" t="s">
        <v>22</v>
      </c>
      <c r="D215" s="5" t="s">
        <v>385</v>
      </c>
      <c r="E215" s="5" t="str">
        <f t="shared" si="1"/>
        <v>Laptops</v>
      </c>
      <c r="F215" s="5">
        <v>12.0</v>
      </c>
      <c r="G215" s="5">
        <v>20456.0</v>
      </c>
      <c r="H215" s="5" t="s">
        <v>29</v>
      </c>
      <c r="I215" s="12" t="str">
        <f t="shared" si="2"/>
        <v>Mar</v>
      </c>
      <c r="J215" s="6">
        <f t="shared" si="3"/>
        <v>245472</v>
      </c>
      <c r="K215" s="5" t="s">
        <v>43</v>
      </c>
      <c r="L215" s="5">
        <v>245472.0</v>
      </c>
      <c r="M215" s="6">
        <f t="shared" si="4"/>
        <v>3</v>
      </c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1" t="s">
        <v>659</v>
      </c>
      <c r="B216" s="7">
        <v>45603.0</v>
      </c>
      <c r="C216" s="5" t="s">
        <v>24</v>
      </c>
      <c r="D216" s="5" t="s">
        <v>527</v>
      </c>
      <c r="E216" s="5" t="str">
        <f t="shared" si="1"/>
        <v>Mobiles</v>
      </c>
      <c r="F216" s="5">
        <v>9.0</v>
      </c>
      <c r="G216" s="5">
        <v>4191.0</v>
      </c>
      <c r="H216" s="5" t="s">
        <v>29</v>
      </c>
      <c r="I216" s="12" t="str">
        <f t="shared" si="2"/>
        <v>Jul</v>
      </c>
      <c r="J216" s="6">
        <f t="shared" si="3"/>
        <v>37719</v>
      </c>
      <c r="K216" s="5" t="s">
        <v>37</v>
      </c>
      <c r="L216" s="5">
        <v>37719.0</v>
      </c>
      <c r="M216" s="6">
        <f t="shared" si="4"/>
        <v>7</v>
      </c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1" t="s">
        <v>660</v>
      </c>
      <c r="B217" s="7" t="s">
        <v>661</v>
      </c>
      <c r="C217" s="5" t="s">
        <v>24</v>
      </c>
      <c r="D217" s="5" t="s">
        <v>360</v>
      </c>
      <c r="E217" s="5" t="str">
        <f t="shared" si="1"/>
        <v>Accessories</v>
      </c>
      <c r="F217" s="5">
        <v>6.0</v>
      </c>
      <c r="G217" s="5">
        <v>48267.0</v>
      </c>
      <c r="H217" s="5" t="s">
        <v>29</v>
      </c>
      <c r="I217" s="12" t="str">
        <f t="shared" si="2"/>
        <v>Oct</v>
      </c>
      <c r="J217" s="6">
        <f t="shared" si="3"/>
        <v>289602</v>
      </c>
      <c r="K217" s="5" t="s">
        <v>23</v>
      </c>
      <c r="L217" s="5">
        <v>289602.0</v>
      </c>
      <c r="M217" s="6">
        <f t="shared" si="4"/>
        <v>10</v>
      </c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1" t="s">
        <v>662</v>
      </c>
      <c r="B218" s="7">
        <v>45475.0</v>
      </c>
      <c r="C218" s="5" t="s">
        <v>16</v>
      </c>
      <c r="D218" s="5" t="s">
        <v>282</v>
      </c>
      <c r="E218" s="5" t="str">
        <f t="shared" si="1"/>
        <v>Mobiles</v>
      </c>
      <c r="F218" s="5">
        <v>15.0</v>
      </c>
      <c r="G218" s="5">
        <v>31267.0</v>
      </c>
      <c r="H218" s="5" t="s">
        <v>29</v>
      </c>
      <c r="I218" s="12" t="str">
        <f t="shared" si="2"/>
        <v>Feb</v>
      </c>
      <c r="J218" s="6">
        <f t="shared" si="3"/>
        <v>469005</v>
      </c>
      <c r="K218" s="5" t="s">
        <v>37</v>
      </c>
      <c r="L218" s="5">
        <v>469005.0</v>
      </c>
      <c r="M218" s="6">
        <f t="shared" si="4"/>
        <v>2</v>
      </c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1" t="s">
        <v>663</v>
      </c>
      <c r="B219" s="7" t="s">
        <v>664</v>
      </c>
      <c r="C219" s="5" t="s">
        <v>22</v>
      </c>
      <c r="D219" s="5" t="s">
        <v>234</v>
      </c>
      <c r="E219" s="5" t="str">
        <f t="shared" si="1"/>
        <v>Laptops</v>
      </c>
      <c r="F219" s="5">
        <v>12.0</v>
      </c>
      <c r="G219" s="5">
        <v>49179.0</v>
      </c>
      <c r="H219" s="5" t="s">
        <v>34</v>
      </c>
      <c r="I219" s="12" t="str">
        <f t="shared" si="2"/>
        <v>Aug</v>
      </c>
      <c r="J219" s="6">
        <f t="shared" si="3"/>
        <v>590148</v>
      </c>
      <c r="K219" s="5" t="s">
        <v>43</v>
      </c>
      <c r="L219" s="5">
        <v>590148.0</v>
      </c>
      <c r="M219" s="6">
        <f t="shared" si="4"/>
        <v>8</v>
      </c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1" t="s">
        <v>665</v>
      </c>
      <c r="B220" s="7">
        <v>45297.0</v>
      </c>
      <c r="C220" s="5" t="s">
        <v>19</v>
      </c>
      <c r="D220" s="5" t="s">
        <v>381</v>
      </c>
      <c r="E220" s="5" t="str">
        <f t="shared" si="1"/>
        <v>Accessories</v>
      </c>
      <c r="F220" s="5">
        <v>9.0</v>
      </c>
      <c r="G220" s="5">
        <v>28333.0</v>
      </c>
      <c r="H220" s="5" t="s">
        <v>34</v>
      </c>
      <c r="I220" s="12" t="str">
        <f t="shared" si="2"/>
        <v>Jun</v>
      </c>
      <c r="J220" s="6">
        <f t="shared" si="3"/>
        <v>254997</v>
      </c>
      <c r="K220" s="5" t="s">
        <v>23</v>
      </c>
      <c r="L220" s="5">
        <v>254997.0</v>
      </c>
      <c r="M220" s="6">
        <f t="shared" si="4"/>
        <v>6</v>
      </c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1" t="s">
        <v>667</v>
      </c>
      <c r="B221" s="7">
        <v>45608.0</v>
      </c>
      <c r="C221" s="5" t="s">
        <v>24</v>
      </c>
      <c r="D221" s="5" t="s">
        <v>221</v>
      </c>
      <c r="E221" s="5" t="str">
        <f t="shared" si="1"/>
        <v>Laptops</v>
      </c>
      <c r="F221" s="5">
        <v>14.0</v>
      </c>
      <c r="G221" s="5">
        <v>45642.0</v>
      </c>
      <c r="H221" s="5" t="s">
        <v>29</v>
      </c>
      <c r="I221" s="12" t="str">
        <f t="shared" si="2"/>
        <v>Dec</v>
      </c>
      <c r="J221" s="6">
        <f t="shared" si="3"/>
        <v>638988</v>
      </c>
      <c r="K221" s="5" t="s">
        <v>43</v>
      </c>
      <c r="L221" s="5">
        <v>638988.0</v>
      </c>
      <c r="M221" s="6">
        <f t="shared" si="4"/>
        <v>12</v>
      </c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1" t="s">
        <v>669</v>
      </c>
      <c r="B222" s="7" t="s">
        <v>544</v>
      </c>
      <c r="C222" s="5" t="s">
        <v>16</v>
      </c>
      <c r="D222" s="5" t="s">
        <v>388</v>
      </c>
      <c r="E222" s="5" t="str">
        <f t="shared" si="1"/>
        <v>Accessories</v>
      </c>
      <c r="F222" s="5">
        <v>9.0</v>
      </c>
      <c r="G222" s="5">
        <v>27136.0</v>
      </c>
      <c r="H222" s="5" t="s">
        <v>34</v>
      </c>
      <c r="I222" s="12" t="str">
        <f t="shared" si="2"/>
        <v>May</v>
      </c>
      <c r="J222" s="6">
        <f t="shared" si="3"/>
        <v>244224</v>
      </c>
      <c r="K222" s="5" t="s">
        <v>23</v>
      </c>
      <c r="L222" s="5">
        <v>244224.0</v>
      </c>
      <c r="M222" s="6">
        <f t="shared" si="4"/>
        <v>5</v>
      </c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1" t="s">
        <v>671</v>
      </c>
      <c r="B223" s="7" t="s">
        <v>672</v>
      </c>
      <c r="C223" s="5" t="s">
        <v>22</v>
      </c>
      <c r="D223" s="5" t="s">
        <v>286</v>
      </c>
      <c r="E223" s="5" t="str">
        <f t="shared" si="1"/>
        <v>Laptops</v>
      </c>
      <c r="F223" s="5">
        <v>19.0</v>
      </c>
      <c r="G223" s="5">
        <v>22943.0</v>
      </c>
      <c r="H223" s="5" t="s">
        <v>29</v>
      </c>
      <c r="I223" s="12" t="str">
        <f t="shared" si="2"/>
        <v>Sep</v>
      </c>
      <c r="J223" s="6">
        <f t="shared" si="3"/>
        <v>435917</v>
      </c>
      <c r="K223" s="5" t="s">
        <v>55</v>
      </c>
      <c r="L223" s="5">
        <v>435917.0</v>
      </c>
      <c r="M223" s="6">
        <f t="shared" si="4"/>
        <v>9</v>
      </c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1" t="s">
        <v>674</v>
      </c>
      <c r="B224" s="7">
        <v>45447.0</v>
      </c>
      <c r="C224" s="5" t="s">
        <v>19</v>
      </c>
      <c r="D224" s="5" t="s">
        <v>598</v>
      </c>
      <c r="E224" s="5" t="str">
        <f t="shared" si="1"/>
        <v>Accessories</v>
      </c>
      <c r="F224" s="5">
        <v>7.0</v>
      </c>
      <c r="G224" s="5">
        <v>35995.0</v>
      </c>
      <c r="H224" s="5" t="s">
        <v>20</v>
      </c>
      <c r="I224" s="12" t="str">
        <f t="shared" si="2"/>
        <v>Apr</v>
      </c>
      <c r="J224" s="6">
        <f t="shared" si="3"/>
        <v>0</v>
      </c>
      <c r="K224" s="5" t="s">
        <v>23</v>
      </c>
      <c r="L224" s="5">
        <v>251965.0</v>
      </c>
      <c r="M224" s="6">
        <f t="shared" si="4"/>
        <v>4</v>
      </c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1" t="s">
        <v>676</v>
      </c>
      <c r="B225" s="7">
        <v>45575.0</v>
      </c>
      <c r="C225" s="5" t="s">
        <v>19</v>
      </c>
      <c r="D225" s="5" t="s">
        <v>677</v>
      </c>
      <c r="E225" s="5" t="str">
        <f t="shared" si="1"/>
        <v>Laptops</v>
      </c>
      <c r="F225" s="5">
        <v>19.0</v>
      </c>
      <c r="G225" s="5">
        <v>16458.0</v>
      </c>
      <c r="H225" s="5" t="s">
        <v>20</v>
      </c>
      <c r="I225" s="12" t="str">
        <f t="shared" si="2"/>
        <v>Oct</v>
      </c>
      <c r="J225" s="6">
        <f t="shared" si="3"/>
        <v>0</v>
      </c>
      <c r="K225" s="5" t="s">
        <v>43</v>
      </c>
      <c r="L225" s="5">
        <v>312702.0</v>
      </c>
      <c r="M225" s="6">
        <f t="shared" si="4"/>
        <v>10</v>
      </c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1" t="s">
        <v>678</v>
      </c>
      <c r="B226" s="7" t="s">
        <v>679</v>
      </c>
      <c r="C226" s="5" t="s">
        <v>19</v>
      </c>
      <c r="D226" s="5" t="s">
        <v>590</v>
      </c>
      <c r="E226" s="5" t="str">
        <f t="shared" si="1"/>
        <v>Mobiles</v>
      </c>
      <c r="F226" s="5">
        <v>4.0</v>
      </c>
      <c r="G226" s="5">
        <v>20028.0</v>
      </c>
      <c r="H226" s="5" t="s">
        <v>20</v>
      </c>
      <c r="I226" s="12" t="str">
        <f t="shared" si="2"/>
        <v>Jun</v>
      </c>
      <c r="J226" s="6">
        <f t="shared" si="3"/>
        <v>0</v>
      </c>
      <c r="K226" s="5" t="s">
        <v>75</v>
      </c>
      <c r="L226" s="5">
        <v>80112.0</v>
      </c>
      <c r="M226" s="6">
        <f t="shared" si="4"/>
        <v>6</v>
      </c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1" t="s">
        <v>681</v>
      </c>
      <c r="B227" s="7" t="s">
        <v>58</v>
      </c>
      <c r="C227" s="5" t="s">
        <v>22</v>
      </c>
      <c r="D227" s="5" t="s">
        <v>593</v>
      </c>
      <c r="E227" s="5" t="str">
        <f t="shared" si="1"/>
        <v>Accessories</v>
      </c>
      <c r="F227" s="5">
        <v>15.0</v>
      </c>
      <c r="G227" s="5">
        <v>66730.0</v>
      </c>
      <c r="H227" s="5" t="s">
        <v>20</v>
      </c>
      <c r="I227" s="12" t="str">
        <f t="shared" si="2"/>
        <v>Oct</v>
      </c>
      <c r="J227" s="6">
        <f t="shared" si="3"/>
        <v>0</v>
      </c>
      <c r="K227" s="5" t="s">
        <v>85</v>
      </c>
      <c r="L227" s="5">
        <v>1000950.0</v>
      </c>
      <c r="M227" s="6">
        <f t="shared" si="4"/>
        <v>10</v>
      </c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1" t="s">
        <v>682</v>
      </c>
      <c r="B228" s="7" t="s">
        <v>683</v>
      </c>
      <c r="C228" s="5" t="s">
        <v>22</v>
      </c>
      <c r="D228" s="5" t="s">
        <v>589</v>
      </c>
      <c r="E228" s="5" t="str">
        <f t="shared" si="1"/>
        <v>Accessories</v>
      </c>
      <c r="F228" s="5">
        <v>7.0</v>
      </c>
      <c r="G228" s="5">
        <v>2227.0</v>
      </c>
      <c r="H228" s="5" t="s">
        <v>20</v>
      </c>
      <c r="I228" s="12" t="str">
        <f t="shared" si="2"/>
        <v>Apr</v>
      </c>
      <c r="J228" s="6">
        <f t="shared" si="3"/>
        <v>0</v>
      </c>
      <c r="K228" s="5" t="s">
        <v>85</v>
      </c>
      <c r="L228" s="5">
        <v>15589.0</v>
      </c>
      <c r="M228" s="6">
        <f t="shared" si="4"/>
        <v>4</v>
      </c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1" t="s">
        <v>684</v>
      </c>
      <c r="B229" s="7" t="s">
        <v>648</v>
      </c>
      <c r="C229" s="5" t="s">
        <v>22</v>
      </c>
      <c r="D229" s="5" t="s">
        <v>502</v>
      </c>
      <c r="E229" s="5" t="str">
        <f t="shared" si="1"/>
        <v>Accessories</v>
      </c>
      <c r="F229" s="5">
        <v>13.0</v>
      </c>
      <c r="G229" s="5">
        <v>4790.0</v>
      </c>
      <c r="H229" s="5" t="s">
        <v>29</v>
      </c>
      <c r="I229" s="12" t="str">
        <f t="shared" si="2"/>
        <v>Jan</v>
      </c>
      <c r="J229" s="6">
        <f t="shared" si="3"/>
        <v>62270</v>
      </c>
      <c r="K229" s="5" t="s">
        <v>23</v>
      </c>
      <c r="L229" s="5">
        <v>62270.0</v>
      </c>
      <c r="M229" s="6">
        <f t="shared" si="4"/>
        <v>1</v>
      </c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1" t="s">
        <v>686</v>
      </c>
      <c r="B230" s="7" t="s">
        <v>687</v>
      </c>
      <c r="C230" s="5" t="s">
        <v>19</v>
      </c>
      <c r="D230" s="5" t="s">
        <v>407</v>
      </c>
      <c r="E230" s="5" t="str">
        <f t="shared" si="1"/>
        <v>Mobiles</v>
      </c>
      <c r="F230" s="5">
        <v>4.0</v>
      </c>
      <c r="G230" s="5">
        <v>54600.0</v>
      </c>
      <c r="H230" s="5" t="s">
        <v>29</v>
      </c>
      <c r="I230" s="12" t="str">
        <f t="shared" si="2"/>
        <v>Aug</v>
      </c>
      <c r="J230" s="6">
        <f t="shared" si="3"/>
        <v>218400</v>
      </c>
      <c r="K230" s="5" t="s">
        <v>37</v>
      </c>
      <c r="L230" s="5">
        <v>218400.0</v>
      </c>
      <c r="M230" s="6">
        <f t="shared" si="4"/>
        <v>8</v>
      </c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1" t="s">
        <v>688</v>
      </c>
      <c r="B231" s="7" t="s">
        <v>690</v>
      </c>
      <c r="C231" s="5" t="s">
        <v>24</v>
      </c>
      <c r="D231" s="5" t="s">
        <v>474</v>
      </c>
      <c r="E231" s="5" t="str">
        <f t="shared" si="1"/>
        <v>Accessories</v>
      </c>
      <c r="F231" s="5">
        <v>7.0</v>
      </c>
      <c r="G231" s="5">
        <v>12691.0</v>
      </c>
      <c r="H231" s="5" t="s">
        <v>29</v>
      </c>
      <c r="I231" s="12" t="str">
        <f t="shared" si="2"/>
        <v>Feb</v>
      </c>
      <c r="J231" s="6">
        <f t="shared" si="3"/>
        <v>88837</v>
      </c>
      <c r="K231" s="5" t="s">
        <v>30</v>
      </c>
      <c r="L231" s="5">
        <v>88837.0</v>
      </c>
      <c r="M231" s="6">
        <f t="shared" si="4"/>
        <v>2</v>
      </c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1" t="s">
        <v>691</v>
      </c>
      <c r="B232" s="7" t="s">
        <v>629</v>
      </c>
      <c r="C232" s="5" t="s">
        <v>19</v>
      </c>
      <c r="D232" s="5" t="s">
        <v>466</v>
      </c>
      <c r="E232" s="5" t="str">
        <f t="shared" si="1"/>
        <v>Laptops</v>
      </c>
      <c r="F232" s="5">
        <v>6.0</v>
      </c>
      <c r="G232" s="5">
        <v>17067.0</v>
      </c>
      <c r="H232" s="5" t="s">
        <v>29</v>
      </c>
      <c r="I232" s="12" t="str">
        <f t="shared" si="2"/>
        <v>Oct</v>
      </c>
      <c r="J232" s="6">
        <f t="shared" si="3"/>
        <v>102402</v>
      </c>
      <c r="K232" s="5" t="s">
        <v>43</v>
      </c>
      <c r="L232" s="5">
        <v>102402.0</v>
      </c>
      <c r="M232" s="6">
        <f t="shared" si="4"/>
        <v>10</v>
      </c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1" t="s">
        <v>692</v>
      </c>
      <c r="B233" s="7">
        <v>45514.0</v>
      </c>
      <c r="C233" s="5" t="s">
        <v>19</v>
      </c>
      <c r="D233" s="5" t="s">
        <v>249</v>
      </c>
      <c r="E233" s="5" t="str">
        <f t="shared" si="1"/>
        <v>Laptops</v>
      </c>
      <c r="F233" s="5">
        <v>20.0</v>
      </c>
      <c r="G233" s="5">
        <v>27151.0</v>
      </c>
      <c r="H233" s="5" t="s">
        <v>34</v>
      </c>
      <c r="I233" s="12" t="str">
        <f t="shared" si="2"/>
        <v>Oct</v>
      </c>
      <c r="J233" s="6">
        <f t="shared" si="3"/>
        <v>543020</v>
      </c>
      <c r="K233" s="5" t="s">
        <v>55</v>
      </c>
      <c r="L233" s="5">
        <v>543020.0</v>
      </c>
      <c r="M233" s="6">
        <f t="shared" si="4"/>
        <v>10</v>
      </c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1" t="s">
        <v>693</v>
      </c>
      <c r="B234" s="7" t="s">
        <v>427</v>
      </c>
      <c r="C234" s="5" t="s">
        <v>19</v>
      </c>
      <c r="D234" s="5" t="s">
        <v>642</v>
      </c>
      <c r="E234" s="5" t="str">
        <f t="shared" si="1"/>
        <v>Accessories</v>
      </c>
      <c r="F234" s="5">
        <v>13.0</v>
      </c>
      <c r="G234" s="5">
        <v>70998.0</v>
      </c>
      <c r="H234" s="5" t="s">
        <v>20</v>
      </c>
      <c r="I234" s="12" t="str">
        <f t="shared" si="2"/>
        <v>Mar</v>
      </c>
      <c r="J234" s="6">
        <f t="shared" si="3"/>
        <v>0</v>
      </c>
      <c r="K234" s="5" t="s">
        <v>85</v>
      </c>
      <c r="L234" s="5">
        <v>922974.0</v>
      </c>
      <c r="M234" s="6">
        <f t="shared" si="4"/>
        <v>3</v>
      </c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1" t="s">
        <v>694</v>
      </c>
      <c r="B235" s="7">
        <v>45355.0</v>
      </c>
      <c r="C235" s="5" t="s">
        <v>24</v>
      </c>
      <c r="D235" s="5" t="s">
        <v>640</v>
      </c>
      <c r="E235" s="5" t="str">
        <f t="shared" si="1"/>
        <v>Mobiles</v>
      </c>
      <c r="F235" s="5">
        <v>14.0</v>
      </c>
      <c r="G235" s="5">
        <v>58788.0</v>
      </c>
      <c r="H235" s="5" t="s">
        <v>20</v>
      </c>
      <c r="I235" s="12" t="str">
        <f t="shared" si="2"/>
        <v>Apr</v>
      </c>
      <c r="J235" s="6">
        <f t="shared" si="3"/>
        <v>0</v>
      </c>
      <c r="K235" s="5" t="s">
        <v>37</v>
      </c>
      <c r="L235" s="5">
        <v>823032.0</v>
      </c>
      <c r="M235" s="6">
        <f t="shared" si="4"/>
        <v>4</v>
      </c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1" t="s">
        <v>695</v>
      </c>
      <c r="B236" s="7">
        <v>45638.0</v>
      </c>
      <c r="C236" s="5" t="s">
        <v>22</v>
      </c>
      <c r="D236" s="5" t="s">
        <v>158</v>
      </c>
      <c r="E236" s="5" t="str">
        <f t="shared" si="1"/>
        <v>Accessories</v>
      </c>
      <c r="F236" s="5">
        <v>18.0</v>
      </c>
      <c r="G236" s="5">
        <v>48117.0</v>
      </c>
      <c r="H236" s="5" t="s">
        <v>29</v>
      </c>
      <c r="I236" s="12" t="str">
        <f t="shared" si="2"/>
        <v>Dec</v>
      </c>
      <c r="J236" s="6">
        <f t="shared" si="3"/>
        <v>866106</v>
      </c>
      <c r="K236" s="5" t="s">
        <v>23</v>
      </c>
      <c r="L236" s="5">
        <v>866106.0</v>
      </c>
      <c r="M236" s="6">
        <f t="shared" si="4"/>
        <v>12</v>
      </c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1" t="s">
        <v>696</v>
      </c>
      <c r="B237" s="7">
        <v>45298.0</v>
      </c>
      <c r="C237" s="5" t="s">
        <v>22</v>
      </c>
      <c r="D237" s="5" t="s">
        <v>524</v>
      </c>
      <c r="E237" s="5" t="str">
        <f t="shared" si="1"/>
        <v>Mobiles</v>
      </c>
      <c r="F237" s="5">
        <v>1.0</v>
      </c>
      <c r="G237" s="5">
        <v>41514.0</v>
      </c>
      <c r="H237" s="5" t="s">
        <v>34</v>
      </c>
      <c r="I237" s="12" t="str">
        <f t="shared" si="2"/>
        <v>Jul</v>
      </c>
      <c r="J237" s="6">
        <f t="shared" si="3"/>
        <v>41514</v>
      </c>
      <c r="K237" s="5" t="s">
        <v>75</v>
      </c>
      <c r="L237" s="5">
        <v>41514.0</v>
      </c>
      <c r="M237" s="6">
        <f t="shared" si="4"/>
        <v>7</v>
      </c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1" t="s">
        <v>697</v>
      </c>
      <c r="B238" s="7" t="s">
        <v>698</v>
      </c>
      <c r="C238" s="5" t="s">
        <v>22</v>
      </c>
      <c r="D238" s="5" t="s">
        <v>98</v>
      </c>
      <c r="E238" s="5" t="str">
        <f t="shared" si="1"/>
        <v>Laptops</v>
      </c>
      <c r="F238" s="5">
        <v>15.0</v>
      </c>
      <c r="G238" s="5">
        <v>71111.0</v>
      </c>
      <c r="H238" s="5" t="s">
        <v>29</v>
      </c>
      <c r="I238" s="12" t="str">
        <f t="shared" si="2"/>
        <v>Mar</v>
      </c>
      <c r="J238" s="6">
        <f t="shared" si="3"/>
        <v>1066665</v>
      </c>
      <c r="K238" s="5" t="s">
        <v>55</v>
      </c>
      <c r="L238" s="5">
        <v>1066665.0</v>
      </c>
      <c r="M238" s="6">
        <f t="shared" si="4"/>
        <v>3</v>
      </c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1" t="s">
        <v>699</v>
      </c>
      <c r="B239" s="7" t="s">
        <v>700</v>
      </c>
      <c r="C239" s="5" t="s">
        <v>19</v>
      </c>
      <c r="D239" s="5" t="s">
        <v>557</v>
      </c>
      <c r="E239" s="5" t="str">
        <f t="shared" si="1"/>
        <v>Laptops</v>
      </c>
      <c r="F239" s="5">
        <v>17.0</v>
      </c>
      <c r="G239" s="5">
        <v>652.0</v>
      </c>
      <c r="H239" s="5" t="s">
        <v>29</v>
      </c>
      <c r="I239" s="12" t="str">
        <f t="shared" si="2"/>
        <v>Feb</v>
      </c>
      <c r="J239" s="6">
        <f t="shared" si="3"/>
        <v>11084</v>
      </c>
      <c r="K239" s="5" t="s">
        <v>43</v>
      </c>
      <c r="L239" s="5">
        <v>11084.0</v>
      </c>
      <c r="M239" s="6">
        <f t="shared" si="4"/>
        <v>2</v>
      </c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1" t="s">
        <v>701</v>
      </c>
      <c r="B240" s="7" t="s">
        <v>93</v>
      </c>
      <c r="C240" s="5" t="s">
        <v>24</v>
      </c>
      <c r="D240" s="5" t="s">
        <v>417</v>
      </c>
      <c r="E240" s="5" t="str">
        <f t="shared" si="1"/>
        <v>Mobiles</v>
      </c>
      <c r="F240" s="5">
        <v>6.0</v>
      </c>
      <c r="G240" s="5">
        <v>30442.0</v>
      </c>
      <c r="H240" s="5" t="s">
        <v>29</v>
      </c>
      <c r="I240" s="12" t="str">
        <f t="shared" si="2"/>
        <v>Sep</v>
      </c>
      <c r="J240" s="6">
        <f t="shared" si="3"/>
        <v>182652</v>
      </c>
      <c r="K240" s="5" t="s">
        <v>75</v>
      </c>
      <c r="L240" s="5">
        <v>182652.0</v>
      </c>
      <c r="M240" s="6">
        <f t="shared" si="4"/>
        <v>9</v>
      </c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1" t="s">
        <v>702</v>
      </c>
      <c r="B241" s="7">
        <v>45477.0</v>
      </c>
      <c r="C241" s="5" t="s">
        <v>24</v>
      </c>
      <c r="D241" s="5" t="s">
        <v>654</v>
      </c>
      <c r="E241" s="5" t="str">
        <f t="shared" si="1"/>
        <v>Accessories</v>
      </c>
      <c r="F241" s="5">
        <v>11.0</v>
      </c>
      <c r="G241" s="5">
        <v>58938.0</v>
      </c>
      <c r="H241" s="5" t="s">
        <v>20</v>
      </c>
      <c r="I241" s="12" t="str">
        <f t="shared" si="2"/>
        <v>Apr</v>
      </c>
      <c r="J241" s="6">
        <f t="shared" si="3"/>
        <v>0</v>
      </c>
      <c r="K241" s="5" t="s">
        <v>30</v>
      </c>
      <c r="L241" s="5">
        <v>648318.0</v>
      </c>
      <c r="M241" s="6">
        <f t="shared" si="4"/>
        <v>4</v>
      </c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1" t="s">
        <v>703</v>
      </c>
      <c r="B242" s="7" t="s">
        <v>226</v>
      </c>
      <c r="C242" s="5" t="s">
        <v>24</v>
      </c>
      <c r="D242" s="5" t="s">
        <v>680</v>
      </c>
      <c r="E242" s="5" t="str">
        <f t="shared" si="1"/>
        <v>Accessories</v>
      </c>
      <c r="F242" s="5">
        <v>4.0</v>
      </c>
      <c r="G242" s="5">
        <v>59051.0</v>
      </c>
      <c r="H242" s="5" t="s">
        <v>20</v>
      </c>
      <c r="I242" s="12" t="str">
        <f t="shared" si="2"/>
        <v>Feb</v>
      </c>
      <c r="J242" s="6">
        <f t="shared" si="3"/>
        <v>0</v>
      </c>
      <c r="K242" s="5" t="s">
        <v>23</v>
      </c>
      <c r="L242" s="5">
        <v>236204.0</v>
      </c>
      <c r="M242" s="6">
        <f t="shared" si="4"/>
        <v>2</v>
      </c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1" t="s">
        <v>704</v>
      </c>
      <c r="B243" s="7">
        <v>45444.0</v>
      </c>
      <c r="C243" s="5" t="s">
        <v>22</v>
      </c>
      <c r="D243" s="5" t="s">
        <v>463</v>
      </c>
      <c r="E243" s="5" t="str">
        <f t="shared" si="1"/>
        <v>Mobiles</v>
      </c>
      <c r="F243" s="5">
        <v>15.0</v>
      </c>
      <c r="G243" s="5">
        <v>7103.0</v>
      </c>
      <c r="H243" s="5" t="s">
        <v>29</v>
      </c>
      <c r="I243" s="12" t="str">
        <f t="shared" si="2"/>
        <v>Jan</v>
      </c>
      <c r="J243" s="6">
        <f t="shared" si="3"/>
        <v>106545</v>
      </c>
      <c r="K243" s="5" t="s">
        <v>37</v>
      </c>
      <c r="L243" s="5">
        <v>106545.0</v>
      </c>
      <c r="M243" s="6">
        <f t="shared" si="4"/>
        <v>1</v>
      </c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1" t="s">
        <v>705</v>
      </c>
      <c r="B244" s="7" t="s">
        <v>706</v>
      </c>
      <c r="C244" s="5" t="s">
        <v>24</v>
      </c>
      <c r="D244" s="5" t="s">
        <v>666</v>
      </c>
      <c r="E244" s="5" t="str">
        <f t="shared" si="1"/>
        <v>Mobiles</v>
      </c>
      <c r="F244" s="5">
        <v>14.0</v>
      </c>
      <c r="G244" s="5">
        <v>1405.0</v>
      </c>
      <c r="H244" s="5" t="s">
        <v>20</v>
      </c>
      <c r="I244" s="12" t="str">
        <f t="shared" si="2"/>
        <v>Jan</v>
      </c>
      <c r="J244" s="6">
        <f t="shared" si="3"/>
        <v>0</v>
      </c>
      <c r="K244" s="5" t="s">
        <v>75</v>
      </c>
      <c r="L244" s="5">
        <v>19670.0</v>
      </c>
      <c r="M244" s="6">
        <f t="shared" si="4"/>
        <v>1</v>
      </c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1" t="s">
        <v>707</v>
      </c>
      <c r="B245" s="7" t="s">
        <v>708</v>
      </c>
      <c r="C245" s="5" t="s">
        <v>24</v>
      </c>
      <c r="D245" s="5" t="s">
        <v>472</v>
      </c>
      <c r="E245" s="5" t="str">
        <f t="shared" si="1"/>
        <v>Mobiles</v>
      </c>
      <c r="F245" s="5">
        <v>2.0</v>
      </c>
      <c r="G245" s="5">
        <v>46318.0</v>
      </c>
      <c r="H245" s="5" t="s">
        <v>29</v>
      </c>
      <c r="I245" s="12" t="str">
        <f t="shared" si="2"/>
        <v>Dec</v>
      </c>
      <c r="J245" s="6">
        <f t="shared" si="3"/>
        <v>92636</v>
      </c>
      <c r="K245" s="5" t="s">
        <v>75</v>
      </c>
      <c r="L245" s="5">
        <v>92636.0</v>
      </c>
      <c r="M245" s="6">
        <f t="shared" si="4"/>
        <v>12</v>
      </c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1" t="s">
        <v>709</v>
      </c>
      <c r="B246" s="7">
        <v>45455.0</v>
      </c>
      <c r="C246" s="5" t="s">
        <v>16</v>
      </c>
      <c r="D246" s="5" t="s">
        <v>447</v>
      </c>
      <c r="E246" s="5" t="str">
        <f t="shared" si="1"/>
        <v>Mobiles</v>
      </c>
      <c r="F246" s="5">
        <v>17.0</v>
      </c>
      <c r="G246" s="5">
        <v>8218.0</v>
      </c>
      <c r="H246" s="5" t="s">
        <v>34</v>
      </c>
      <c r="I246" s="12" t="str">
        <f t="shared" si="2"/>
        <v>Dec</v>
      </c>
      <c r="J246" s="6">
        <f t="shared" si="3"/>
        <v>139706</v>
      </c>
      <c r="K246" s="5" t="s">
        <v>75</v>
      </c>
      <c r="L246" s="5">
        <v>139706.0</v>
      </c>
      <c r="M246" s="6">
        <f t="shared" si="4"/>
        <v>12</v>
      </c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1" t="s">
        <v>710</v>
      </c>
      <c r="B247" s="7" t="s">
        <v>711</v>
      </c>
      <c r="C247" s="5" t="s">
        <v>16</v>
      </c>
      <c r="D247" s="5" t="s">
        <v>496</v>
      </c>
      <c r="E247" s="5" t="str">
        <f t="shared" si="1"/>
        <v>Laptops</v>
      </c>
      <c r="F247" s="5">
        <v>3.0</v>
      </c>
      <c r="G247" s="5">
        <v>21935.0</v>
      </c>
      <c r="H247" s="5" t="s">
        <v>29</v>
      </c>
      <c r="I247" s="12" t="str">
        <f t="shared" si="2"/>
        <v>Dec</v>
      </c>
      <c r="J247" s="6">
        <f t="shared" si="3"/>
        <v>65805</v>
      </c>
      <c r="K247" s="5" t="s">
        <v>43</v>
      </c>
      <c r="L247" s="5">
        <v>65805.0</v>
      </c>
      <c r="M247" s="6">
        <f t="shared" si="4"/>
        <v>12</v>
      </c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1" t="s">
        <v>712</v>
      </c>
      <c r="B248" s="7">
        <v>45331.0</v>
      </c>
      <c r="C248" s="5" t="s">
        <v>22</v>
      </c>
      <c r="D248" s="5" t="s">
        <v>571</v>
      </c>
      <c r="E248" s="5" t="str">
        <f t="shared" si="1"/>
        <v>Accessories</v>
      </c>
      <c r="F248" s="5">
        <v>7.0</v>
      </c>
      <c r="G248" s="5">
        <v>65616.0</v>
      </c>
      <c r="H248" s="5" t="s">
        <v>20</v>
      </c>
      <c r="I248" s="12" t="str">
        <f t="shared" si="2"/>
        <v>Sep</v>
      </c>
      <c r="J248" s="6">
        <f t="shared" si="3"/>
        <v>0</v>
      </c>
      <c r="K248" s="5" t="s">
        <v>23</v>
      </c>
      <c r="L248" s="5">
        <v>459312.0</v>
      </c>
      <c r="M248" s="6">
        <f t="shared" si="4"/>
        <v>9</v>
      </c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1" t="s">
        <v>713</v>
      </c>
      <c r="B249" s="7">
        <v>45631.0</v>
      </c>
      <c r="C249" s="5" t="s">
        <v>22</v>
      </c>
      <c r="D249" s="5" t="s">
        <v>78</v>
      </c>
      <c r="E249" s="5" t="str">
        <f t="shared" si="1"/>
        <v>Laptops</v>
      </c>
      <c r="F249" s="5">
        <v>17.0</v>
      </c>
      <c r="G249" s="5">
        <v>71774.0</v>
      </c>
      <c r="H249" s="5" t="s">
        <v>29</v>
      </c>
      <c r="I249" s="12" t="str">
        <f t="shared" si="2"/>
        <v>May</v>
      </c>
      <c r="J249" s="6">
        <f t="shared" si="3"/>
        <v>1220158</v>
      </c>
      <c r="K249" s="5" t="s">
        <v>43</v>
      </c>
      <c r="L249" s="5">
        <v>1220158.0</v>
      </c>
      <c r="M249" s="6">
        <f t="shared" si="4"/>
        <v>5</v>
      </c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1" t="s">
        <v>714</v>
      </c>
      <c r="B250" s="7" t="s">
        <v>715</v>
      </c>
      <c r="C250" s="5" t="s">
        <v>22</v>
      </c>
      <c r="D250" s="5" t="s">
        <v>638</v>
      </c>
      <c r="E250" s="5" t="str">
        <f t="shared" si="1"/>
        <v>Mobiles</v>
      </c>
      <c r="F250" s="5">
        <v>6.0</v>
      </c>
      <c r="G250" s="5">
        <v>30989.0</v>
      </c>
      <c r="H250" s="5" t="s">
        <v>20</v>
      </c>
      <c r="I250" s="12" t="str">
        <f t="shared" si="2"/>
        <v>Apr</v>
      </c>
      <c r="J250" s="6">
        <f t="shared" si="3"/>
        <v>0</v>
      </c>
      <c r="K250" s="5" t="s">
        <v>37</v>
      </c>
      <c r="L250" s="5">
        <v>185934.0</v>
      </c>
      <c r="M250" s="6">
        <f t="shared" si="4"/>
        <v>4</v>
      </c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1" t="s">
        <v>716</v>
      </c>
      <c r="B251" s="7">
        <v>45359.0</v>
      </c>
      <c r="C251" s="5" t="s">
        <v>16</v>
      </c>
      <c r="D251" s="5" t="s">
        <v>673</v>
      </c>
      <c r="E251" s="5" t="str">
        <f t="shared" si="1"/>
        <v>Mobiles</v>
      </c>
      <c r="F251" s="5">
        <v>5.0</v>
      </c>
      <c r="G251" s="5">
        <v>43547.0</v>
      </c>
      <c r="H251" s="5" t="s">
        <v>20</v>
      </c>
      <c r="I251" s="12" t="str">
        <f t="shared" si="2"/>
        <v>Aug</v>
      </c>
      <c r="J251" s="6">
        <f t="shared" si="3"/>
        <v>0</v>
      </c>
      <c r="K251" s="5" t="s">
        <v>37</v>
      </c>
      <c r="L251" s="5">
        <v>217735.0</v>
      </c>
      <c r="M251" s="6">
        <f t="shared" si="4"/>
        <v>8</v>
      </c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1" t="s">
        <v>717</v>
      </c>
      <c r="B252" s="7">
        <v>45424.0</v>
      </c>
      <c r="C252" s="5" t="s">
        <v>24</v>
      </c>
      <c r="D252" s="5" t="s">
        <v>141</v>
      </c>
      <c r="E252" s="5" t="str">
        <f t="shared" si="1"/>
        <v>Accessories</v>
      </c>
      <c r="F252" s="5">
        <v>12.0</v>
      </c>
      <c r="G252" s="5">
        <v>79218.0</v>
      </c>
      <c r="H252" s="5" t="s">
        <v>29</v>
      </c>
      <c r="I252" s="12" t="str">
        <f t="shared" si="2"/>
        <v>Dec</v>
      </c>
      <c r="J252" s="6">
        <f t="shared" si="3"/>
        <v>950616</v>
      </c>
      <c r="K252" s="5" t="s">
        <v>23</v>
      </c>
      <c r="L252" s="5">
        <v>950616.0</v>
      </c>
      <c r="M252" s="6">
        <f t="shared" si="4"/>
        <v>12</v>
      </c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1" t="s">
        <v>718</v>
      </c>
      <c r="B253" s="7">
        <v>45327.0</v>
      </c>
      <c r="C253" s="5" t="s">
        <v>24</v>
      </c>
      <c r="D253" s="5" t="s">
        <v>190</v>
      </c>
      <c r="E253" s="5" t="str">
        <f t="shared" si="1"/>
        <v>Mobiles</v>
      </c>
      <c r="F253" s="5">
        <v>10.0</v>
      </c>
      <c r="G253" s="5">
        <v>77416.0</v>
      </c>
      <c r="H253" s="5" t="s">
        <v>29</v>
      </c>
      <c r="I253" s="12" t="str">
        <f t="shared" si="2"/>
        <v>May</v>
      </c>
      <c r="J253" s="6">
        <f t="shared" si="3"/>
        <v>774160</v>
      </c>
      <c r="K253" s="5" t="s">
        <v>37</v>
      </c>
      <c r="L253" s="5">
        <v>774160.0</v>
      </c>
      <c r="M253" s="6">
        <f t="shared" si="4"/>
        <v>5</v>
      </c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1" t="s">
        <v>719</v>
      </c>
      <c r="B254" s="7" t="s">
        <v>530</v>
      </c>
      <c r="C254" s="5" t="s">
        <v>16</v>
      </c>
      <c r="D254" s="5" t="s">
        <v>652</v>
      </c>
      <c r="E254" s="5" t="str">
        <f t="shared" si="1"/>
        <v>Laptops</v>
      </c>
      <c r="F254" s="5">
        <v>19.0</v>
      </c>
      <c r="G254" s="5">
        <v>21570.0</v>
      </c>
      <c r="H254" s="5" t="s">
        <v>20</v>
      </c>
      <c r="I254" s="12" t="str">
        <f t="shared" si="2"/>
        <v>Aug</v>
      </c>
      <c r="J254" s="6">
        <f t="shared" si="3"/>
        <v>0</v>
      </c>
      <c r="K254" s="5" t="s">
        <v>43</v>
      </c>
      <c r="L254" s="5">
        <v>409830.0</v>
      </c>
      <c r="M254" s="6">
        <f t="shared" si="4"/>
        <v>8</v>
      </c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1" t="s">
        <v>720</v>
      </c>
      <c r="B255" s="7">
        <v>45571.0</v>
      </c>
      <c r="C255" s="5" t="s">
        <v>24</v>
      </c>
      <c r="D255" s="5" t="s">
        <v>217</v>
      </c>
      <c r="E255" s="5" t="str">
        <f t="shared" si="1"/>
        <v>Mobiles</v>
      </c>
      <c r="F255" s="5">
        <v>13.0</v>
      </c>
      <c r="G255" s="5">
        <v>49892.0</v>
      </c>
      <c r="H255" s="5" t="s">
        <v>29</v>
      </c>
      <c r="I255" s="12" t="str">
        <f t="shared" si="2"/>
        <v>Jun</v>
      </c>
      <c r="J255" s="6">
        <f t="shared" si="3"/>
        <v>648596</v>
      </c>
      <c r="K255" s="5" t="s">
        <v>37</v>
      </c>
      <c r="L255" s="5">
        <v>648596.0</v>
      </c>
      <c r="M255" s="6">
        <f t="shared" si="4"/>
        <v>6</v>
      </c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1" t="s">
        <v>721</v>
      </c>
      <c r="B256" s="7">
        <v>45568.0</v>
      </c>
      <c r="C256" s="5" t="s">
        <v>22</v>
      </c>
      <c r="D256" s="5" t="s">
        <v>379</v>
      </c>
      <c r="E256" s="5" t="str">
        <f t="shared" si="1"/>
        <v>Mobiles</v>
      </c>
      <c r="F256" s="5">
        <v>6.0</v>
      </c>
      <c r="G256" s="5">
        <v>42533.0</v>
      </c>
      <c r="H256" s="5" t="s">
        <v>34</v>
      </c>
      <c r="I256" s="12" t="str">
        <f t="shared" si="2"/>
        <v>Mar</v>
      </c>
      <c r="J256" s="6">
        <f t="shared" si="3"/>
        <v>255198</v>
      </c>
      <c r="K256" s="5" t="s">
        <v>37</v>
      </c>
      <c r="L256" s="5">
        <v>255198.0</v>
      </c>
      <c r="M256" s="6">
        <f t="shared" si="4"/>
        <v>3</v>
      </c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1" t="s">
        <v>722</v>
      </c>
      <c r="B257" s="7" t="s">
        <v>723</v>
      </c>
      <c r="C257" s="5" t="s">
        <v>24</v>
      </c>
      <c r="D257" s="5" t="s">
        <v>625</v>
      </c>
      <c r="E257" s="5" t="str">
        <f t="shared" si="1"/>
        <v>Mobiles</v>
      </c>
      <c r="F257" s="5">
        <v>1.0</v>
      </c>
      <c r="G257" s="5">
        <v>68178.0</v>
      </c>
      <c r="H257" s="5" t="s">
        <v>20</v>
      </c>
      <c r="I257" s="12" t="str">
        <f t="shared" si="2"/>
        <v>Dec</v>
      </c>
      <c r="J257" s="6">
        <f t="shared" si="3"/>
        <v>0</v>
      </c>
      <c r="K257" s="5" t="s">
        <v>37</v>
      </c>
      <c r="L257" s="5">
        <v>68178.0</v>
      </c>
      <c r="M257" s="6">
        <f t="shared" si="4"/>
        <v>12</v>
      </c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1" t="s">
        <v>724</v>
      </c>
      <c r="B258" s="7">
        <v>45329.0</v>
      </c>
      <c r="C258" s="5" t="s">
        <v>19</v>
      </c>
      <c r="D258" s="5" t="s">
        <v>263</v>
      </c>
      <c r="E258" s="5" t="str">
        <f t="shared" si="1"/>
        <v>Mobiles</v>
      </c>
      <c r="F258" s="5">
        <v>17.0</v>
      </c>
      <c r="G258" s="5">
        <v>31228.0</v>
      </c>
      <c r="H258" s="5" t="s">
        <v>29</v>
      </c>
      <c r="I258" s="12" t="str">
        <f t="shared" si="2"/>
        <v>Jul</v>
      </c>
      <c r="J258" s="6">
        <f t="shared" si="3"/>
        <v>530876</v>
      </c>
      <c r="K258" s="5" t="s">
        <v>75</v>
      </c>
      <c r="L258" s="5">
        <v>530876.0</v>
      </c>
      <c r="M258" s="6">
        <f t="shared" si="4"/>
        <v>7</v>
      </c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1" t="s">
        <v>725</v>
      </c>
      <c r="B259" s="7" t="s">
        <v>661</v>
      </c>
      <c r="C259" s="5" t="s">
        <v>16</v>
      </c>
      <c r="D259" s="5" t="s">
        <v>468</v>
      </c>
      <c r="E259" s="5" t="str">
        <f t="shared" si="1"/>
        <v>Accessories</v>
      </c>
      <c r="F259" s="5">
        <v>9.0</v>
      </c>
      <c r="G259" s="5">
        <v>10896.0</v>
      </c>
      <c r="H259" s="5" t="s">
        <v>29</v>
      </c>
      <c r="I259" s="12" t="str">
        <f t="shared" si="2"/>
        <v>Oct</v>
      </c>
      <c r="J259" s="6">
        <f t="shared" si="3"/>
        <v>98064</v>
      </c>
      <c r="K259" s="5" t="s">
        <v>23</v>
      </c>
      <c r="L259" s="5">
        <v>98064.0</v>
      </c>
      <c r="M259" s="6">
        <f t="shared" si="4"/>
        <v>10</v>
      </c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1" t="s">
        <v>726</v>
      </c>
      <c r="B260" s="7" t="s">
        <v>727</v>
      </c>
      <c r="C260" s="5" t="s">
        <v>24</v>
      </c>
      <c r="D260" s="5" t="s">
        <v>405</v>
      </c>
      <c r="E260" s="5" t="str">
        <f t="shared" si="1"/>
        <v>Laptops</v>
      </c>
      <c r="F260" s="5">
        <v>11.0</v>
      </c>
      <c r="G260" s="5">
        <v>20051.0</v>
      </c>
      <c r="H260" s="5" t="s">
        <v>29</v>
      </c>
      <c r="I260" s="12" t="str">
        <f t="shared" si="2"/>
        <v>Mar</v>
      </c>
      <c r="J260" s="6">
        <f t="shared" si="3"/>
        <v>220561</v>
      </c>
      <c r="K260" s="5" t="s">
        <v>55</v>
      </c>
      <c r="L260" s="5">
        <v>220561.0</v>
      </c>
      <c r="M260" s="6">
        <f t="shared" si="4"/>
        <v>3</v>
      </c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1" t="s">
        <v>728</v>
      </c>
      <c r="B261" s="7" t="s">
        <v>458</v>
      </c>
      <c r="C261" s="5" t="s">
        <v>19</v>
      </c>
      <c r="D261" s="5" t="s">
        <v>451</v>
      </c>
      <c r="E261" s="5" t="str">
        <f t="shared" si="1"/>
        <v>Mobiles</v>
      </c>
      <c r="F261" s="5">
        <v>4.0</v>
      </c>
      <c r="G261" s="5">
        <v>33035.0</v>
      </c>
      <c r="H261" s="5" t="s">
        <v>34</v>
      </c>
      <c r="I261" s="12" t="str">
        <f t="shared" si="2"/>
        <v>Dec</v>
      </c>
      <c r="J261" s="6">
        <f t="shared" si="3"/>
        <v>132140</v>
      </c>
      <c r="K261" s="5" t="s">
        <v>37</v>
      </c>
      <c r="L261" s="5">
        <v>132140.0</v>
      </c>
      <c r="M261" s="6">
        <f t="shared" si="4"/>
        <v>12</v>
      </c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1" t="s">
        <v>729</v>
      </c>
      <c r="B262" s="7">
        <v>45453.0</v>
      </c>
      <c r="C262" s="5" t="s">
        <v>16</v>
      </c>
      <c r="D262" s="5" t="s">
        <v>615</v>
      </c>
      <c r="E262" s="5" t="str">
        <f t="shared" si="1"/>
        <v>Accessories</v>
      </c>
      <c r="F262" s="5">
        <v>4.0</v>
      </c>
      <c r="G262" s="5">
        <v>20117.0</v>
      </c>
      <c r="H262" s="5" t="s">
        <v>20</v>
      </c>
      <c r="I262" s="12" t="str">
        <f t="shared" si="2"/>
        <v>Oct</v>
      </c>
      <c r="J262" s="6">
        <f t="shared" si="3"/>
        <v>0</v>
      </c>
      <c r="K262" s="5" t="s">
        <v>30</v>
      </c>
      <c r="L262" s="5">
        <v>80468.0</v>
      </c>
      <c r="M262" s="6">
        <f t="shared" si="4"/>
        <v>10</v>
      </c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1" t="s">
        <v>730</v>
      </c>
      <c r="B263" s="7">
        <v>45515.0</v>
      </c>
      <c r="C263" s="5" t="s">
        <v>16</v>
      </c>
      <c r="D263" s="5" t="s">
        <v>643</v>
      </c>
      <c r="E263" s="5" t="str">
        <f t="shared" si="1"/>
        <v>Accessories</v>
      </c>
      <c r="F263" s="5">
        <v>17.0</v>
      </c>
      <c r="G263" s="5">
        <v>39705.0</v>
      </c>
      <c r="H263" s="5" t="s">
        <v>20</v>
      </c>
      <c r="I263" s="12" t="str">
        <f t="shared" si="2"/>
        <v>Nov</v>
      </c>
      <c r="J263" s="6">
        <f t="shared" si="3"/>
        <v>0</v>
      </c>
      <c r="K263" s="5" t="s">
        <v>30</v>
      </c>
      <c r="L263" s="5">
        <v>674985.0</v>
      </c>
      <c r="M263" s="6">
        <f t="shared" si="4"/>
        <v>11</v>
      </c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1" t="s">
        <v>731</v>
      </c>
      <c r="B264" s="7" t="s">
        <v>353</v>
      </c>
      <c r="C264" s="5" t="s">
        <v>16</v>
      </c>
      <c r="D264" s="5" t="s">
        <v>668</v>
      </c>
      <c r="E264" s="5" t="str">
        <f t="shared" si="1"/>
        <v>Accessories</v>
      </c>
      <c r="F264" s="5">
        <v>18.0</v>
      </c>
      <c r="G264" s="5">
        <v>78985.0</v>
      </c>
      <c r="H264" s="5" t="s">
        <v>20</v>
      </c>
      <c r="I264" s="12" t="str">
        <f t="shared" si="2"/>
        <v>Mar</v>
      </c>
      <c r="J264" s="6">
        <f t="shared" si="3"/>
        <v>0</v>
      </c>
      <c r="K264" s="5" t="s">
        <v>85</v>
      </c>
      <c r="L264" s="5">
        <v>1421730.0</v>
      </c>
      <c r="M264" s="6">
        <f t="shared" si="4"/>
        <v>3</v>
      </c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1" t="s">
        <v>732</v>
      </c>
      <c r="B265" s="7" t="s">
        <v>580</v>
      </c>
      <c r="C265" s="5" t="s">
        <v>16</v>
      </c>
      <c r="D265" s="5" t="s">
        <v>670</v>
      </c>
      <c r="E265" s="5" t="str">
        <f t="shared" si="1"/>
        <v>Accessories</v>
      </c>
      <c r="F265" s="5">
        <v>8.0</v>
      </c>
      <c r="G265" s="5">
        <v>5709.0</v>
      </c>
      <c r="H265" s="5" t="s">
        <v>20</v>
      </c>
      <c r="I265" s="12" t="str">
        <f t="shared" si="2"/>
        <v>Oct</v>
      </c>
      <c r="J265" s="6">
        <f t="shared" si="3"/>
        <v>0</v>
      </c>
      <c r="K265" s="5" t="s">
        <v>85</v>
      </c>
      <c r="L265" s="5">
        <v>45672.0</v>
      </c>
      <c r="M265" s="6">
        <f t="shared" si="4"/>
        <v>10</v>
      </c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1" t="s">
        <v>733</v>
      </c>
      <c r="B266" s="7">
        <v>45332.0</v>
      </c>
      <c r="C266" s="5" t="s">
        <v>24</v>
      </c>
      <c r="D266" s="5" t="s">
        <v>415</v>
      </c>
      <c r="E266" s="5" t="str">
        <f t="shared" si="1"/>
        <v>Accessories</v>
      </c>
      <c r="F266" s="5">
        <v>19.0</v>
      </c>
      <c r="G266" s="5">
        <v>10022.0</v>
      </c>
      <c r="H266" s="5" t="s">
        <v>34</v>
      </c>
      <c r="I266" s="12" t="str">
        <f t="shared" si="2"/>
        <v>Oct</v>
      </c>
      <c r="J266" s="6">
        <f t="shared" si="3"/>
        <v>190418</v>
      </c>
      <c r="K266" s="5" t="s">
        <v>30</v>
      </c>
      <c r="L266" s="5">
        <v>190418.0</v>
      </c>
      <c r="M266" s="6">
        <f t="shared" si="4"/>
        <v>10</v>
      </c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1" t="s">
        <v>734</v>
      </c>
      <c r="B267" s="7" t="s">
        <v>735</v>
      </c>
      <c r="C267" s="5" t="s">
        <v>24</v>
      </c>
      <c r="D267" s="5" t="s">
        <v>372</v>
      </c>
      <c r="E267" s="5" t="str">
        <f t="shared" si="1"/>
        <v>Accessories</v>
      </c>
      <c r="F267" s="5">
        <v>8.0</v>
      </c>
      <c r="G267" s="5">
        <v>33826.0</v>
      </c>
      <c r="H267" s="5" t="s">
        <v>29</v>
      </c>
      <c r="I267" s="12" t="str">
        <f t="shared" si="2"/>
        <v>Feb</v>
      </c>
      <c r="J267" s="6">
        <f t="shared" si="3"/>
        <v>270608</v>
      </c>
      <c r="K267" s="5" t="s">
        <v>85</v>
      </c>
      <c r="L267" s="5">
        <v>270608.0</v>
      </c>
      <c r="M267" s="6">
        <f t="shared" si="4"/>
        <v>2</v>
      </c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1" t="s">
        <v>736</v>
      </c>
      <c r="B268" s="7">
        <v>45546.0</v>
      </c>
      <c r="C268" s="5" t="s">
        <v>22</v>
      </c>
      <c r="D268" s="5" t="s">
        <v>595</v>
      </c>
      <c r="E268" s="5" t="str">
        <f t="shared" si="1"/>
        <v>Mobiles</v>
      </c>
      <c r="F268" s="5">
        <v>16.0</v>
      </c>
      <c r="G268" s="5">
        <v>20471.0</v>
      </c>
      <c r="H268" s="5" t="s">
        <v>20</v>
      </c>
      <c r="I268" s="12" t="str">
        <f t="shared" si="2"/>
        <v>Nov</v>
      </c>
      <c r="J268" s="6">
        <f t="shared" si="3"/>
        <v>0</v>
      </c>
      <c r="K268" s="5" t="s">
        <v>75</v>
      </c>
      <c r="L268" s="5">
        <v>327536.0</v>
      </c>
      <c r="M268" s="6">
        <f t="shared" si="4"/>
        <v>11</v>
      </c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1" t="s">
        <v>737</v>
      </c>
      <c r="B269" s="7">
        <v>45455.0</v>
      </c>
      <c r="C269" s="5" t="s">
        <v>22</v>
      </c>
      <c r="D269" s="5" t="s">
        <v>450</v>
      </c>
      <c r="E269" s="5" t="str">
        <f t="shared" si="1"/>
        <v>Laptops</v>
      </c>
      <c r="F269" s="5">
        <v>8.0</v>
      </c>
      <c r="G269" s="5">
        <v>17415.0</v>
      </c>
      <c r="H269" s="5" t="s">
        <v>34</v>
      </c>
      <c r="I269" s="12" t="str">
        <f t="shared" si="2"/>
        <v>Dec</v>
      </c>
      <c r="J269" s="6">
        <f t="shared" si="3"/>
        <v>139320</v>
      </c>
      <c r="K269" s="5" t="s">
        <v>43</v>
      </c>
      <c r="L269" s="5">
        <v>139320.0</v>
      </c>
      <c r="M269" s="6">
        <f t="shared" si="4"/>
        <v>12</v>
      </c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1" t="s">
        <v>738</v>
      </c>
      <c r="B270" s="7" t="s">
        <v>544</v>
      </c>
      <c r="C270" s="5" t="s">
        <v>22</v>
      </c>
      <c r="D270" s="5" t="s">
        <v>531</v>
      </c>
      <c r="E270" s="5" t="str">
        <f t="shared" si="1"/>
        <v>Accessories</v>
      </c>
      <c r="F270" s="5">
        <v>2.0</v>
      </c>
      <c r="G270" s="5">
        <v>18155.0</v>
      </c>
      <c r="H270" s="5" t="s">
        <v>29</v>
      </c>
      <c r="I270" s="12" t="str">
        <f t="shared" si="2"/>
        <v>May</v>
      </c>
      <c r="J270" s="6">
        <f t="shared" si="3"/>
        <v>36310</v>
      </c>
      <c r="K270" s="5" t="s">
        <v>30</v>
      </c>
      <c r="L270" s="5">
        <v>36310.0</v>
      </c>
      <c r="M270" s="6">
        <f t="shared" si="4"/>
        <v>5</v>
      </c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1" t="s">
        <v>739</v>
      </c>
      <c r="B271" s="7" t="s">
        <v>740</v>
      </c>
      <c r="C271" s="5" t="s">
        <v>16</v>
      </c>
      <c r="D271" s="5" t="s">
        <v>459</v>
      </c>
      <c r="E271" s="5" t="str">
        <f t="shared" si="1"/>
        <v>Laptops</v>
      </c>
      <c r="F271" s="5">
        <v>3.0</v>
      </c>
      <c r="G271" s="5">
        <v>40421.0</v>
      </c>
      <c r="H271" s="5" t="s">
        <v>29</v>
      </c>
      <c r="I271" s="12" t="str">
        <f t="shared" si="2"/>
        <v>Oct</v>
      </c>
      <c r="J271" s="6">
        <f t="shared" si="3"/>
        <v>121263</v>
      </c>
      <c r="K271" s="5" t="s">
        <v>43</v>
      </c>
      <c r="L271" s="5">
        <v>121263.0</v>
      </c>
      <c r="M271" s="6">
        <f t="shared" si="4"/>
        <v>10</v>
      </c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1" t="s">
        <v>741</v>
      </c>
      <c r="B272" s="7" t="s">
        <v>742</v>
      </c>
      <c r="C272" s="5" t="s">
        <v>24</v>
      </c>
      <c r="D272" s="5" t="s">
        <v>509</v>
      </c>
      <c r="E272" s="5" t="str">
        <f t="shared" si="1"/>
        <v>Accessories</v>
      </c>
      <c r="F272" s="5">
        <v>4.0</v>
      </c>
      <c r="G272" s="5">
        <v>13940.0</v>
      </c>
      <c r="H272" s="5" t="s">
        <v>29</v>
      </c>
      <c r="I272" s="12" t="str">
        <f t="shared" si="2"/>
        <v>Jul</v>
      </c>
      <c r="J272" s="6">
        <f t="shared" si="3"/>
        <v>55760</v>
      </c>
      <c r="K272" s="5" t="s">
        <v>30</v>
      </c>
      <c r="L272" s="5">
        <v>55760.0</v>
      </c>
      <c r="M272" s="6">
        <f t="shared" si="4"/>
        <v>7</v>
      </c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1" t="s">
        <v>743</v>
      </c>
      <c r="B273" s="7" t="s">
        <v>744</v>
      </c>
      <c r="C273" s="5" t="s">
        <v>24</v>
      </c>
      <c r="D273" s="5" t="s">
        <v>685</v>
      </c>
      <c r="E273" s="5" t="str">
        <f t="shared" si="1"/>
        <v>Laptops</v>
      </c>
      <c r="F273" s="5">
        <v>2.0</v>
      </c>
      <c r="G273" s="5">
        <v>79289.0</v>
      </c>
      <c r="H273" s="5" t="s">
        <v>20</v>
      </c>
      <c r="I273" s="12" t="str">
        <f t="shared" si="2"/>
        <v>May</v>
      </c>
      <c r="J273" s="6">
        <f t="shared" si="3"/>
        <v>0</v>
      </c>
      <c r="K273" s="5" t="s">
        <v>55</v>
      </c>
      <c r="L273" s="5">
        <v>158578.0</v>
      </c>
      <c r="M273" s="6">
        <f t="shared" si="4"/>
        <v>5</v>
      </c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1" t="s">
        <v>745</v>
      </c>
      <c r="B274" s="7" t="s">
        <v>605</v>
      </c>
      <c r="C274" s="5" t="s">
        <v>16</v>
      </c>
      <c r="D274" s="5" t="s">
        <v>105</v>
      </c>
      <c r="E274" s="5" t="str">
        <f t="shared" si="1"/>
        <v>Accessories</v>
      </c>
      <c r="F274" s="5">
        <v>14.0</v>
      </c>
      <c r="G274" s="5">
        <v>75202.0</v>
      </c>
      <c r="H274" s="5" t="s">
        <v>34</v>
      </c>
      <c r="I274" s="12" t="str">
        <f t="shared" si="2"/>
        <v>Dec</v>
      </c>
      <c r="J274" s="6">
        <f t="shared" si="3"/>
        <v>1052828</v>
      </c>
      <c r="K274" s="5" t="s">
        <v>23</v>
      </c>
      <c r="L274" s="5">
        <v>1052828.0</v>
      </c>
      <c r="M274" s="6">
        <f t="shared" si="4"/>
        <v>12</v>
      </c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1" t="s">
        <v>746</v>
      </c>
      <c r="B275" s="7">
        <v>45301.0</v>
      </c>
      <c r="C275" s="5" t="s">
        <v>19</v>
      </c>
      <c r="D275" s="5" t="s">
        <v>608</v>
      </c>
      <c r="E275" s="5" t="str">
        <f t="shared" si="1"/>
        <v>Accessories</v>
      </c>
      <c r="F275" s="5">
        <v>13.0</v>
      </c>
      <c r="G275" s="5">
        <v>72461.0</v>
      </c>
      <c r="H275" s="5" t="s">
        <v>20</v>
      </c>
      <c r="I275" s="12" t="str">
        <f t="shared" si="2"/>
        <v>Oct</v>
      </c>
      <c r="J275" s="6">
        <f t="shared" si="3"/>
        <v>0</v>
      </c>
      <c r="K275" s="5" t="s">
        <v>30</v>
      </c>
      <c r="L275" s="5">
        <v>941993.0</v>
      </c>
      <c r="M275" s="6">
        <f t="shared" si="4"/>
        <v>10</v>
      </c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1" t="s">
        <v>748</v>
      </c>
      <c r="B276" s="7">
        <v>45415.0</v>
      </c>
      <c r="C276" s="5" t="s">
        <v>24</v>
      </c>
      <c r="D276" s="5" t="s">
        <v>338</v>
      </c>
      <c r="E276" s="5" t="str">
        <f t="shared" si="1"/>
        <v>Laptops</v>
      </c>
      <c r="F276" s="5">
        <v>5.0</v>
      </c>
      <c r="G276" s="5">
        <v>68224.0</v>
      </c>
      <c r="H276" s="5" t="s">
        <v>34</v>
      </c>
      <c r="I276" s="12" t="str">
        <f t="shared" si="2"/>
        <v>Mar</v>
      </c>
      <c r="J276" s="6">
        <f t="shared" si="3"/>
        <v>341120</v>
      </c>
      <c r="K276" s="5" t="s">
        <v>55</v>
      </c>
      <c r="L276" s="5">
        <v>341120.0</v>
      </c>
      <c r="M276" s="6">
        <f t="shared" si="4"/>
        <v>3</v>
      </c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1" t="s">
        <v>749</v>
      </c>
      <c r="B277" s="7">
        <v>45447.0</v>
      </c>
      <c r="C277" s="5" t="s">
        <v>16</v>
      </c>
      <c r="D277" s="5" t="s">
        <v>336</v>
      </c>
      <c r="E277" s="5" t="str">
        <f t="shared" si="1"/>
        <v>Mobiles</v>
      </c>
      <c r="F277" s="5">
        <v>11.0</v>
      </c>
      <c r="G277" s="5">
        <v>31309.0</v>
      </c>
      <c r="H277" s="5" t="s">
        <v>34</v>
      </c>
      <c r="I277" s="12" t="str">
        <f t="shared" si="2"/>
        <v>Apr</v>
      </c>
      <c r="J277" s="6">
        <f t="shared" si="3"/>
        <v>344399</v>
      </c>
      <c r="K277" s="5" t="s">
        <v>37</v>
      </c>
      <c r="L277" s="5">
        <v>344399.0</v>
      </c>
      <c r="M277" s="6">
        <f t="shared" si="4"/>
        <v>4</v>
      </c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1" t="s">
        <v>750</v>
      </c>
      <c r="B278" s="7">
        <v>45390.0</v>
      </c>
      <c r="C278" s="5" t="s">
        <v>22</v>
      </c>
      <c r="D278" s="5" t="s">
        <v>121</v>
      </c>
      <c r="E278" s="5" t="str">
        <f t="shared" si="1"/>
        <v>Mobiles</v>
      </c>
      <c r="F278" s="5">
        <v>20.0</v>
      </c>
      <c r="G278" s="5">
        <v>50396.0</v>
      </c>
      <c r="H278" s="5" t="s">
        <v>29</v>
      </c>
      <c r="I278" s="12" t="str">
        <f t="shared" si="2"/>
        <v>Aug</v>
      </c>
      <c r="J278" s="6">
        <f t="shared" si="3"/>
        <v>1007920</v>
      </c>
      <c r="K278" s="5" t="s">
        <v>37</v>
      </c>
      <c r="L278" s="5">
        <v>1007920.0</v>
      </c>
      <c r="M278" s="6">
        <f t="shared" si="4"/>
        <v>8</v>
      </c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1" t="s">
        <v>751</v>
      </c>
      <c r="B279" s="7">
        <v>45601.0</v>
      </c>
      <c r="C279" s="5" t="s">
        <v>16</v>
      </c>
      <c r="D279" s="5" t="s">
        <v>371</v>
      </c>
      <c r="E279" s="5" t="str">
        <f t="shared" si="1"/>
        <v>Mobiles</v>
      </c>
      <c r="F279" s="5">
        <v>11.0</v>
      </c>
      <c r="G279" s="5">
        <v>24851.0</v>
      </c>
      <c r="H279" s="5" t="s">
        <v>29</v>
      </c>
      <c r="I279" s="12" t="str">
        <f t="shared" si="2"/>
        <v>May</v>
      </c>
      <c r="J279" s="6">
        <f t="shared" si="3"/>
        <v>273361</v>
      </c>
      <c r="K279" s="5" t="s">
        <v>37</v>
      </c>
      <c r="L279" s="5">
        <v>273361.0</v>
      </c>
      <c r="M279" s="6">
        <f t="shared" si="4"/>
        <v>5</v>
      </c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1" t="s">
        <v>752</v>
      </c>
      <c r="B280" s="7" t="s">
        <v>753</v>
      </c>
      <c r="C280" s="5" t="s">
        <v>16</v>
      </c>
      <c r="D280" s="5" t="s">
        <v>460</v>
      </c>
      <c r="E280" s="5" t="str">
        <f t="shared" si="1"/>
        <v>Accessories</v>
      </c>
      <c r="F280" s="5">
        <v>3.0</v>
      </c>
      <c r="G280" s="5">
        <v>37820.0</v>
      </c>
      <c r="H280" s="5" t="s">
        <v>29</v>
      </c>
      <c r="I280" s="12" t="str">
        <f t="shared" si="2"/>
        <v>Mar</v>
      </c>
      <c r="J280" s="6">
        <f t="shared" si="3"/>
        <v>113460</v>
      </c>
      <c r="K280" s="5" t="s">
        <v>85</v>
      </c>
      <c r="L280" s="5">
        <v>113460.0</v>
      </c>
      <c r="M280" s="6">
        <f t="shared" si="4"/>
        <v>3</v>
      </c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1" t="s">
        <v>754</v>
      </c>
      <c r="B281" s="7" t="s">
        <v>458</v>
      </c>
      <c r="C281" s="5" t="s">
        <v>22</v>
      </c>
      <c r="D281" s="5" t="s">
        <v>516</v>
      </c>
      <c r="E281" s="5" t="str">
        <f t="shared" si="1"/>
        <v>Laptops</v>
      </c>
      <c r="F281" s="5">
        <v>1.0</v>
      </c>
      <c r="G281" s="5">
        <v>50885.0</v>
      </c>
      <c r="H281" s="5" t="s">
        <v>34</v>
      </c>
      <c r="I281" s="12" t="str">
        <f t="shared" si="2"/>
        <v>Dec</v>
      </c>
      <c r="J281" s="6">
        <f t="shared" si="3"/>
        <v>50885</v>
      </c>
      <c r="K281" s="5" t="s">
        <v>43</v>
      </c>
      <c r="L281" s="5">
        <v>50885.0</v>
      </c>
      <c r="M281" s="6">
        <f t="shared" si="4"/>
        <v>12</v>
      </c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1" t="s">
        <v>755</v>
      </c>
      <c r="B282" s="7" t="s">
        <v>535</v>
      </c>
      <c r="C282" s="5" t="s">
        <v>22</v>
      </c>
      <c r="D282" s="5" t="s">
        <v>545</v>
      </c>
      <c r="E282" s="5" t="str">
        <f t="shared" si="1"/>
        <v>Accessories</v>
      </c>
      <c r="F282" s="5">
        <v>2.0</v>
      </c>
      <c r="G282" s="5">
        <v>15650.0</v>
      </c>
      <c r="H282" s="5" t="s">
        <v>34</v>
      </c>
      <c r="I282" s="12" t="str">
        <f t="shared" si="2"/>
        <v>Jun</v>
      </c>
      <c r="J282" s="6">
        <f t="shared" si="3"/>
        <v>31300</v>
      </c>
      <c r="K282" s="5" t="s">
        <v>85</v>
      </c>
      <c r="L282" s="5">
        <v>31300.0</v>
      </c>
      <c r="M282" s="6">
        <f t="shared" si="4"/>
        <v>6</v>
      </c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1" t="s">
        <v>756</v>
      </c>
      <c r="B283" s="7">
        <v>45509.0</v>
      </c>
      <c r="C283" s="5" t="s">
        <v>19</v>
      </c>
      <c r="D283" s="5" t="s">
        <v>299</v>
      </c>
      <c r="E283" s="5" t="str">
        <f t="shared" si="1"/>
        <v>Mobiles</v>
      </c>
      <c r="F283" s="5">
        <v>12.0</v>
      </c>
      <c r="G283" s="5">
        <v>33047.0</v>
      </c>
      <c r="H283" s="5" t="s">
        <v>34</v>
      </c>
      <c r="I283" s="12" t="str">
        <f t="shared" si="2"/>
        <v>May</v>
      </c>
      <c r="J283" s="6">
        <f t="shared" si="3"/>
        <v>396564</v>
      </c>
      <c r="K283" s="5" t="s">
        <v>37</v>
      </c>
      <c r="L283" s="5">
        <v>396564.0</v>
      </c>
      <c r="M283" s="6">
        <f t="shared" si="4"/>
        <v>5</v>
      </c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1" t="s">
        <v>757</v>
      </c>
      <c r="B284" s="7" t="s">
        <v>131</v>
      </c>
      <c r="C284" s="5" t="s">
        <v>16</v>
      </c>
      <c r="D284" s="5" t="s">
        <v>520</v>
      </c>
      <c r="E284" s="5" t="str">
        <f t="shared" si="1"/>
        <v>Mobiles</v>
      </c>
      <c r="F284" s="5">
        <v>1.0</v>
      </c>
      <c r="G284" s="5">
        <v>42813.0</v>
      </c>
      <c r="H284" s="5" t="s">
        <v>29</v>
      </c>
      <c r="I284" s="12" t="str">
        <f t="shared" si="2"/>
        <v>Oct</v>
      </c>
      <c r="J284" s="6">
        <f t="shared" si="3"/>
        <v>42813</v>
      </c>
      <c r="K284" s="5" t="s">
        <v>37</v>
      </c>
      <c r="L284" s="5">
        <v>42813.0</v>
      </c>
      <c r="M284" s="6">
        <f t="shared" si="4"/>
        <v>10</v>
      </c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1" t="s">
        <v>758</v>
      </c>
      <c r="B285" s="7" t="s">
        <v>735</v>
      </c>
      <c r="C285" s="5" t="s">
        <v>19</v>
      </c>
      <c r="D285" s="5" t="s">
        <v>129</v>
      </c>
      <c r="E285" s="5" t="str">
        <f t="shared" si="1"/>
        <v>Mobiles</v>
      </c>
      <c r="F285" s="5">
        <v>16.0</v>
      </c>
      <c r="G285" s="5">
        <v>62124.0</v>
      </c>
      <c r="H285" s="5" t="s">
        <v>29</v>
      </c>
      <c r="I285" s="12" t="str">
        <f t="shared" si="2"/>
        <v>Feb</v>
      </c>
      <c r="J285" s="6">
        <f t="shared" si="3"/>
        <v>993984</v>
      </c>
      <c r="K285" s="5" t="s">
        <v>37</v>
      </c>
      <c r="L285" s="5">
        <v>993984.0</v>
      </c>
      <c r="M285" s="6">
        <f t="shared" si="4"/>
        <v>2</v>
      </c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1" t="s">
        <v>759</v>
      </c>
      <c r="B286" s="7" t="s">
        <v>760</v>
      </c>
      <c r="C286" s="5" t="s">
        <v>22</v>
      </c>
      <c r="D286" s="5" t="s">
        <v>364</v>
      </c>
      <c r="E286" s="5" t="str">
        <f t="shared" si="1"/>
        <v>Mobiles</v>
      </c>
      <c r="F286" s="5">
        <v>7.0</v>
      </c>
      <c r="G286" s="5">
        <v>40391.0</v>
      </c>
      <c r="H286" s="5" t="s">
        <v>29</v>
      </c>
      <c r="I286" s="12" t="str">
        <f t="shared" si="2"/>
        <v>Apr</v>
      </c>
      <c r="J286" s="6">
        <f t="shared" si="3"/>
        <v>282737</v>
      </c>
      <c r="K286" s="5" t="s">
        <v>37</v>
      </c>
      <c r="L286" s="5">
        <v>282737.0</v>
      </c>
      <c r="M286" s="6">
        <f t="shared" si="4"/>
        <v>4</v>
      </c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1" t="s">
        <v>761</v>
      </c>
      <c r="B287" s="7" t="s">
        <v>762</v>
      </c>
      <c r="C287" s="5" t="s">
        <v>19</v>
      </c>
      <c r="D287" s="5" t="s">
        <v>522</v>
      </c>
      <c r="E287" s="5" t="str">
        <f t="shared" si="1"/>
        <v>Mobiles</v>
      </c>
      <c r="F287" s="5">
        <v>1.0</v>
      </c>
      <c r="G287" s="5">
        <v>41986.0</v>
      </c>
      <c r="H287" s="5" t="s">
        <v>34</v>
      </c>
      <c r="I287" s="12" t="str">
        <f t="shared" si="2"/>
        <v>Mar</v>
      </c>
      <c r="J287" s="6">
        <f t="shared" si="3"/>
        <v>41986</v>
      </c>
      <c r="K287" s="5" t="s">
        <v>37</v>
      </c>
      <c r="L287" s="5">
        <v>41986.0</v>
      </c>
      <c r="M287" s="6">
        <f t="shared" si="4"/>
        <v>3</v>
      </c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1" t="s">
        <v>763</v>
      </c>
      <c r="B288" s="7" t="s">
        <v>764</v>
      </c>
      <c r="C288" s="5" t="s">
        <v>24</v>
      </c>
      <c r="D288" s="5" t="s">
        <v>296</v>
      </c>
      <c r="E288" s="5" t="str">
        <f t="shared" si="1"/>
        <v>Accessories</v>
      </c>
      <c r="F288" s="5">
        <v>20.0</v>
      </c>
      <c r="G288" s="5">
        <v>20289.0</v>
      </c>
      <c r="H288" s="5" t="s">
        <v>29</v>
      </c>
      <c r="I288" s="12" t="str">
        <f t="shared" si="2"/>
        <v>Jan</v>
      </c>
      <c r="J288" s="6">
        <f t="shared" si="3"/>
        <v>405780</v>
      </c>
      <c r="K288" s="5" t="s">
        <v>30</v>
      </c>
      <c r="L288" s="5">
        <v>405780.0</v>
      </c>
      <c r="M288" s="6">
        <f t="shared" si="4"/>
        <v>1</v>
      </c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1" t="s">
        <v>765</v>
      </c>
      <c r="B289" s="7" t="s">
        <v>766</v>
      </c>
      <c r="C289" s="5" t="s">
        <v>19</v>
      </c>
      <c r="D289" s="5" t="s">
        <v>231</v>
      </c>
      <c r="E289" s="5" t="str">
        <f t="shared" si="1"/>
        <v>Mobiles</v>
      </c>
      <c r="F289" s="5">
        <v>9.0</v>
      </c>
      <c r="G289" s="5">
        <v>65941.0</v>
      </c>
      <c r="H289" s="5" t="s">
        <v>34</v>
      </c>
      <c r="I289" s="12" t="str">
        <f t="shared" si="2"/>
        <v>Jun</v>
      </c>
      <c r="J289" s="6">
        <f t="shared" si="3"/>
        <v>593469</v>
      </c>
      <c r="K289" s="5" t="s">
        <v>37</v>
      </c>
      <c r="L289" s="5">
        <v>593469.0</v>
      </c>
      <c r="M289" s="6">
        <f t="shared" si="4"/>
        <v>6</v>
      </c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1" t="s">
        <v>767</v>
      </c>
      <c r="B290" s="7">
        <v>45361.0</v>
      </c>
      <c r="C290" s="5" t="s">
        <v>22</v>
      </c>
      <c r="D290" s="5" t="s">
        <v>504</v>
      </c>
      <c r="E290" s="5" t="str">
        <f t="shared" si="1"/>
        <v>Accessories</v>
      </c>
      <c r="F290" s="5">
        <v>14.0</v>
      </c>
      <c r="G290" s="5">
        <v>4339.0</v>
      </c>
      <c r="H290" s="5" t="s">
        <v>29</v>
      </c>
      <c r="I290" s="12" t="str">
        <f t="shared" si="2"/>
        <v>Oct</v>
      </c>
      <c r="J290" s="6">
        <f t="shared" si="3"/>
        <v>60746</v>
      </c>
      <c r="K290" s="5" t="s">
        <v>30</v>
      </c>
      <c r="L290" s="5">
        <v>60746.0</v>
      </c>
      <c r="M290" s="6">
        <f t="shared" si="4"/>
        <v>10</v>
      </c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1" t="s">
        <v>768</v>
      </c>
      <c r="B291" s="7">
        <v>45540.0</v>
      </c>
      <c r="C291" s="5" t="s">
        <v>24</v>
      </c>
      <c r="D291" s="5" t="s">
        <v>689</v>
      </c>
      <c r="E291" s="5" t="str">
        <f t="shared" si="1"/>
        <v>Accessories</v>
      </c>
      <c r="F291" s="5">
        <v>18.0</v>
      </c>
      <c r="G291" s="5">
        <v>72074.0</v>
      </c>
      <c r="H291" s="5" t="s">
        <v>20</v>
      </c>
      <c r="I291" s="12" t="str">
        <f t="shared" si="2"/>
        <v>May</v>
      </c>
      <c r="J291" s="6">
        <f t="shared" si="3"/>
        <v>0</v>
      </c>
      <c r="K291" s="5" t="s">
        <v>30</v>
      </c>
      <c r="L291" s="5">
        <v>1297332.0</v>
      </c>
      <c r="M291" s="6">
        <f t="shared" si="4"/>
        <v>5</v>
      </c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1" t="s">
        <v>769</v>
      </c>
      <c r="B292" s="7" t="s">
        <v>770</v>
      </c>
      <c r="C292" s="5" t="s">
        <v>24</v>
      </c>
      <c r="D292" s="5" t="s">
        <v>132</v>
      </c>
      <c r="E292" s="5" t="str">
        <f t="shared" si="1"/>
        <v>Laptops</v>
      </c>
      <c r="F292" s="5">
        <v>16.0</v>
      </c>
      <c r="G292" s="5">
        <v>62071.0</v>
      </c>
      <c r="H292" s="5" t="s">
        <v>29</v>
      </c>
      <c r="I292" s="12" t="str">
        <f t="shared" si="2"/>
        <v>Mar</v>
      </c>
      <c r="J292" s="6">
        <f t="shared" si="3"/>
        <v>993136</v>
      </c>
      <c r="K292" s="5" t="s">
        <v>55</v>
      </c>
      <c r="L292" s="5">
        <v>993136.0</v>
      </c>
      <c r="M292" s="6">
        <f t="shared" si="4"/>
        <v>3</v>
      </c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1" t="s">
        <v>771</v>
      </c>
      <c r="B293" s="7">
        <v>45363.0</v>
      </c>
      <c r="C293" s="5" t="s">
        <v>19</v>
      </c>
      <c r="D293" s="5" t="s">
        <v>514</v>
      </c>
      <c r="E293" s="5" t="str">
        <f t="shared" si="1"/>
        <v>Accessories</v>
      </c>
      <c r="F293" s="5">
        <v>10.0</v>
      </c>
      <c r="G293" s="5">
        <v>5090.0</v>
      </c>
      <c r="H293" s="5" t="s">
        <v>34</v>
      </c>
      <c r="I293" s="12" t="str">
        <f t="shared" si="2"/>
        <v>Dec</v>
      </c>
      <c r="J293" s="6">
        <f t="shared" si="3"/>
        <v>50900</v>
      </c>
      <c r="K293" s="5" t="s">
        <v>30</v>
      </c>
      <c r="L293" s="5">
        <v>50900.0</v>
      </c>
      <c r="M293" s="6">
        <f t="shared" si="4"/>
        <v>12</v>
      </c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1" t="s">
        <v>772</v>
      </c>
      <c r="B294" s="7">
        <v>45413.0</v>
      </c>
      <c r="C294" s="5" t="s">
        <v>16</v>
      </c>
      <c r="D294" s="5" t="s">
        <v>271</v>
      </c>
      <c r="E294" s="5" t="str">
        <f t="shared" si="1"/>
        <v>Accessories</v>
      </c>
      <c r="F294" s="5">
        <v>8.0</v>
      </c>
      <c r="G294" s="5">
        <v>63427.0</v>
      </c>
      <c r="H294" s="5" t="s">
        <v>34</v>
      </c>
      <c r="I294" s="12" t="str">
        <f t="shared" si="2"/>
        <v>Jan</v>
      </c>
      <c r="J294" s="6">
        <f t="shared" si="3"/>
        <v>507416</v>
      </c>
      <c r="K294" s="5" t="s">
        <v>85</v>
      </c>
      <c r="L294" s="5">
        <v>507416.0</v>
      </c>
      <c r="M294" s="6">
        <f t="shared" si="4"/>
        <v>1</v>
      </c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1" t="s">
        <v>773</v>
      </c>
      <c r="B295" s="7">
        <v>45507.0</v>
      </c>
      <c r="C295" s="5" t="s">
        <v>16</v>
      </c>
      <c r="D295" s="5" t="s">
        <v>675</v>
      </c>
      <c r="E295" s="5" t="str">
        <f t="shared" si="1"/>
        <v>Mobiles</v>
      </c>
      <c r="F295" s="5">
        <v>15.0</v>
      </c>
      <c r="G295" s="5">
        <v>62923.0</v>
      </c>
      <c r="H295" s="5" t="s">
        <v>20</v>
      </c>
      <c r="I295" s="12" t="str">
        <f t="shared" si="2"/>
        <v>Mar</v>
      </c>
      <c r="J295" s="6">
        <f t="shared" si="3"/>
        <v>0</v>
      </c>
      <c r="K295" s="5" t="s">
        <v>75</v>
      </c>
      <c r="L295" s="5">
        <v>943845.0</v>
      </c>
      <c r="M295" s="6">
        <f t="shared" si="4"/>
        <v>3</v>
      </c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1" t="s">
        <v>774</v>
      </c>
      <c r="B296" s="7" t="s">
        <v>335</v>
      </c>
      <c r="C296" s="5" t="s">
        <v>24</v>
      </c>
      <c r="D296" s="5" t="s">
        <v>50</v>
      </c>
      <c r="E296" s="5" t="str">
        <f t="shared" si="1"/>
        <v>Accessories</v>
      </c>
      <c r="F296" s="5">
        <v>19.0</v>
      </c>
      <c r="G296" s="5">
        <v>68754.0</v>
      </c>
      <c r="H296" s="5" t="s">
        <v>34</v>
      </c>
      <c r="I296" s="12" t="str">
        <f t="shared" si="2"/>
        <v>Aug</v>
      </c>
      <c r="J296" s="6">
        <f t="shared" si="3"/>
        <v>1306326</v>
      </c>
      <c r="K296" s="5" t="s">
        <v>30</v>
      </c>
      <c r="L296" s="5">
        <v>1306326.0</v>
      </c>
      <c r="M296" s="6">
        <f t="shared" si="4"/>
        <v>8</v>
      </c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1" t="s">
        <v>775</v>
      </c>
      <c r="B297" s="7" t="s">
        <v>776</v>
      </c>
      <c r="C297" s="5" t="s">
        <v>16</v>
      </c>
      <c r="D297" s="5" t="s">
        <v>180</v>
      </c>
      <c r="E297" s="5" t="str">
        <f t="shared" si="1"/>
        <v>Accessories</v>
      </c>
      <c r="F297" s="5">
        <v>14.0</v>
      </c>
      <c r="G297" s="5">
        <v>56729.0</v>
      </c>
      <c r="H297" s="5" t="s">
        <v>29</v>
      </c>
      <c r="I297" s="12" t="str">
        <f t="shared" si="2"/>
        <v>Feb</v>
      </c>
      <c r="J297" s="6">
        <f t="shared" si="3"/>
        <v>794206</v>
      </c>
      <c r="K297" s="5" t="s">
        <v>85</v>
      </c>
      <c r="L297" s="5">
        <v>794206.0</v>
      </c>
      <c r="M297" s="6">
        <f t="shared" si="4"/>
        <v>2</v>
      </c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1" t="s">
        <v>777</v>
      </c>
      <c r="B298" s="7" t="s">
        <v>605</v>
      </c>
      <c r="C298" s="5" t="s">
        <v>22</v>
      </c>
      <c r="D298" s="5" t="s">
        <v>621</v>
      </c>
      <c r="E298" s="5" t="str">
        <f t="shared" si="1"/>
        <v>Accessories</v>
      </c>
      <c r="F298" s="5">
        <v>11.0</v>
      </c>
      <c r="G298" s="5">
        <v>9213.0</v>
      </c>
      <c r="H298" s="5" t="s">
        <v>20</v>
      </c>
      <c r="I298" s="12" t="str">
        <f t="shared" si="2"/>
        <v>Dec</v>
      </c>
      <c r="J298" s="6">
        <f t="shared" si="3"/>
        <v>0</v>
      </c>
      <c r="K298" s="5" t="s">
        <v>30</v>
      </c>
      <c r="L298" s="5">
        <v>101343.0</v>
      </c>
      <c r="M298" s="6">
        <f t="shared" si="4"/>
        <v>12</v>
      </c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1" t="s">
        <v>778</v>
      </c>
      <c r="B299" s="7" t="s">
        <v>779</v>
      </c>
      <c r="C299" s="5" t="s">
        <v>16</v>
      </c>
      <c r="D299" s="5" t="s">
        <v>424</v>
      </c>
      <c r="E299" s="5" t="str">
        <f t="shared" si="1"/>
        <v>Accessories</v>
      </c>
      <c r="F299" s="5">
        <v>14.0</v>
      </c>
      <c r="G299" s="5">
        <v>12413.0</v>
      </c>
      <c r="H299" s="5" t="s">
        <v>34</v>
      </c>
      <c r="I299" s="12" t="str">
        <f t="shared" si="2"/>
        <v>Dec</v>
      </c>
      <c r="J299" s="6">
        <f t="shared" si="3"/>
        <v>173782</v>
      </c>
      <c r="K299" s="5" t="s">
        <v>30</v>
      </c>
      <c r="L299" s="5">
        <v>173782.0</v>
      </c>
      <c r="M299" s="6">
        <f t="shared" si="4"/>
        <v>12</v>
      </c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1" t="s">
        <v>780</v>
      </c>
      <c r="B300" s="7" t="s">
        <v>430</v>
      </c>
      <c r="C300" s="5" t="s">
        <v>24</v>
      </c>
      <c r="D300" s="5" t="s">
        <v>555</v>
      </c>
      <c r="E300" s="5" t="str">
        <f t="shared" si="1"/>
        <v>Accessories</v>
      </c>
      <c r="F300" s="5">
        <v>2.0</v>
      </c>
      <c r="G300" s="5">
        <v>9102.0</v>
      </c>
      <c r="H300" s="5" t="s">
        <v>29</v>
      </c>
      <c r="I300" s="12" t="str">
        <f t="shared" si="2"/>
        <v>Jan</v>
      </c>
      <c r="J300" s="6">
        <f t="shared" si="3"/>
        <v>18204</v>
      </c>
      <c r="K300" s="5" t="s">
        <v>30</v>
      </c>
      <c r="L300" s="5">
        <v>18204.0</v>
      </c>
      <c r="M300" s="6">
        <f t="shared" si="4"/>
        <v>1</v>
      </c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1" t="s">
        <v>781</v>
      </c>
      <c r="B301" s="7" t="s">
        <v>782</v>
      </c>
      <c r="C301" s="5" t="s">
        <v>24</v>
      </c>
      <c r="D301" s="5" t="s">
        <v>438</v>
      </c>
      <c r="E301" s="5" t="str">
        <f t="shared" si="1"/>
        <v>Laptops</v>
      </c>
      <c r="F301" s="5">
        <v>8.0</v>
      </c>
      <c r="G301" s="5">
        <v>18699.0</v>
      </c>
      <c r="H301" s="5" t="s">
        <v>29</v>
      </c>
      <c r="I301" s="12" t="str">
        <f t="shared" si="2"/>
        <v>Feb</v>
      </c>
      <c r="J301" s="6">
        <f t="shared" si="3"/>
        <v>149592</v>
      </c>
      <c r="K301" s="5" t="s">
        <v>43</v>
      </c>
      <c r="L301" s="5">
        <v>149592.0</v>
      </c>
      <c r="M301" s="6">
        <f t="shared" si="4"/>
        <v>2</v>
      </c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16"/>
      <c r="B302" s="17"/>
      <c r="C302" s="6"/>
      <c r="D302" s="6"/>
      <c r="E302" s="6"/>
      <c r="F302" s="6"/>
      <c r="G302" s="6"/>
      <c r="H302" s="6"/>
      <c r="I302" s="14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16"/>
      <c r="B303" s="17"/>
      <c r="C303" s="6"/>
      <c r="D303" s="6"/>
      <c r="E303" s="6"/>
      <c r="F303" s="6"/>
      <c r="G303" s="6"/>
      <c r="H303" s="6"/>
      <c r="I303" s="14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16"/>
      <c r="B304" s="17"/>
      <c r="C304" s="6"/>
      <c r="D304" s="6"/>
      <c r="E304" s="6"/>
      <c r="F304" s="6"/>
      <c r="G304" s="6"/>
      <c r="H304" s="6"/>
      <c r="I304" s="14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16"/>
      <c r="B305" s="17"/>
      <c r="C305" s="6"/>
      <c r="D305" s="6"/>
      <c r="E305" s="6"/>
      <c r="F305" s="6"/>
      <c r="G305" s="6"/>
      <c r="H305" s="6"/>
      <c r="I305" s="14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16"/>
      <c r="B306" s="17"/>
      <c r="C306" s="6"/>
      <c r="D306" s="6"/>
      <c r="E306" s="6"/>
      <c r="F306" s="6"/>
      <c r="G306" s="6"/>
      <c r="H306" s="6"/>
      <c r="I306" s="14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16"/>
      <c r="B307" s="17"/>
      <c r="C307" s="6"/>
      <c r="D307" s="6"/>
      <c r="E307" s="6"/>
      <c r="F307" s="6"/>
      <c r="G307" s="6"/>
      <c r="H307" s="6"/>
      <c r="I307" s="14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16"/>
      <c r="B308" s="17"/>
      <c r="C308" s="6"/>
      <c r="D308" s="6"/>
      <c r="E308" s="6"/>
      <c r="F308" s="6"/>
      <c r="G308" s="6"/>
      <c r="H308" s="6"/>
      <c r="I308" s="14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16"/>
      <c r="B309" s="17"/>
      <c r="C309" s="6"/>
      <c r="D309" s="6"/>
      <c r="E309" s="6"/>
      <c r="F309" s="6"/>
      <c r="G309" s="6"/>
      <c r="H309" s="6"/>
      <c r="I309" s="14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16"/>
      <c r="B310" s="17"/>
      <c r="C310" s="6"/>
      <c r="D310" s="6"/>
      <c r="E310" s="6"/>
      <c r="F310" s="6"/>
      <c r="G310" s="6"/>
      <c r="H310" s="6"/>
      <c r="I310" s="14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16"/>
      <c r="B311" s="17"/>
      <c r="C311" s="6"/>
      <c r="D311" s="6"/>
      <c r="E311" s="6"/>
      <c r="F311" s="6"/>
      <c r="G311" s="6"/>
      <c r="H311" s="6"/>
      <c r="I311" s="14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16"/>
      <c r="B312" s="17"/>
      <c r="C312" s="6"/>
      <c r="D312" s="6"/>
      <c r="E312" s="6"/>
      <c r="F312" s="6"/>
      <c r="G312" s="6"/>
      <c r="H312" s="6"/>
      <c r="I312" s="14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16"/>
      <c r="B313" s="17"/>
      <c r="C313" s="6"/>
      <c r="D313" s="6"/>
      <c r="E313" s="6"/>
      <c r="F313" s="6"/>
      <c r="G313" s="6"/>
      <c r="H313" s="6"/>
      <c r="I313" s="14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16"/>
      <c r="B314" s="17"/>
      <c r="C314" s="6"/>
      <c r="D314" s="6"/>
      <c r="E314" s="6"/>
      <c r="F314" s="6"/>
      <c r="G314" s="6"/>
      <c r="H314" s="6"/>
      <c r="I314" s="14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16"/>
      <c r="B315" s="17"/>
      <c r="C315" s="6"/>
      <c r="D315" s="6"/>
      <c r="E315" s="6"/>
      <c r="F315" s="6"/>
      <c r="G315" s="6"/>
      <c r="H315" s="6"/>
      <c r="I315" s="14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16"/>
      <c r="B316" s="17"/>
      <c r="C316" s="6"/>
      <c r="D316" s="6"/>
      <c r="E316" s="6"/>
      <c r="F316" s="6"/>
      <c r="G316" s="6"/>
      <c r="H316" s="6"/>
      <c r="I316" s="14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16"/>
      <c r="B317" s="17"/>
      <c r="C317" s="6"/>
      <c r="D317" s="6"/>
      <c r="E317" s="6"/>
      <c r="F317" s="6"/>
      <c r="G317" s="6"/>
      <c r="H317" s="6"/>
      <c r="I317" s="14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16"/>
      <c r="B318" s="17"/>
      <c r="C318" s="6"/>
      <c r="D318" s="6"/>
      <c r="E318" s="6"/>
      <c r="F318" s="6"/>
      <c r="G318" s="6"/>
      <c r="H318" s="6"/>
      <c r="I318" s="14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16"/>
      <c r="B319" s="17"/>
      <c r="C319" s="6"/>
      <c r="D319" s="6"/>
      <c r="E319" s="6"/>
      <c r="F319" s="6"/>
      <c r="G319" s="6"/>
      <c r="H319" s="6"/>
      <c r="I319" s="14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16"/>
      <c r="B320" s="17"/>
      <c r="C320" s="6"/>
      <c r="D320" s="6"/>
      <c r="E320" s="6"/>
      <c r="F320" s="6"/>
      <c r="G320" s="6"/>
      <c r="H320" s="6"/>
      <c r="I320" s="14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16"/>
      <c r="B321" s="17"/>
      <c r="C321" s="6"/>
      <c r="D321" s="6"/>
      <c r="E321" s="6"/>
      <c r="F321" s="6"/>
      <c r="G321" s="6"/>
      <c r="H321" s="6"/>
      <c r="I321" s="14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16"/>
      <c r="B322" s="17"/>
      <c r="C322" s="6"/>
      <c r="D322" s="6"/>
      <c r="E322" s="6"/>
      <c r="F322" s="6"/>
      <c r="G322" s="6"/>
      <c r="H322" s="6"/>
      <c r="I322" s="14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16"/>
      <c r="B323" s="17"/>
      <c r="C323" s="6"/>
      <c r="D323" s="6"/>
      <c r="E323" s="6"/>
      <c r="F323" s="6"/>
      <c r="G323" s="6"/>
      <c r="H323" s="6"/>
      <c r="I323" s="14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16"/>
      <c r="B324" s="17"/>
      <c r="C324" s="6"/>
      <c r="D324" s="6"/>
      <c r="E324" s="6"/>
      <c r="F324" s="6"/>
      <c r="G324" s="6"/>
      <c r="H324" s="6"/>
      <c r="I324" s="14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16"/>
      <c r="B325" s="17"/>
      <c r="C325" s="6"/>
      <c r="D325" s="6"/>
      <c r="E325" s="6"/>
      <c r="F325" s="6"/>
      <c r="G325" s="6"/>
      <c r="H325" s="6"/>
      <c r="I325" s="14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16"/>
      <c r="B326" s="17"/>
      <c r="C326" s="6"/>
      <c r="D326" s="6"/>
      <c r="E326" s="6"/>
      <c r="F326" s="6"/>
      <c r="G326" s="6"/>
      <c r="H326" s="6"/>
      <c r="I326" s="14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16"/>
      <c r="B327" s="17"/>
      <c r="C327" s="6"/>
      <c r="D327" s="6"/>
      <c r="E327" s="6"/>
      <c r="F327" s="6"/>
      <c r="G327" s="6"/>
      <c r="H327" s="6"/>
      <c r="I327" s="14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16"/>
      <c r="B328" s="17"/>
      <c r="C328" s="6"/>
      <c r="D328" s="6"/>
      <c r="E328" s="6"/>
      <c r="F328" s="6"/>
      <c r="G328" s="6"/>
      <c r="H328" s="6"/>
      <c r="I328" s="14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16"/>
      <c r="B329" s="17"/>
      <c r="C329" s="6"/>
      <c r="D329" s="6"/>
      <c r="E329" s="6"/>
      <c r="F329" s="6"/>
      <c r="G329" s="6"/>
      <c r="H329" s="6"/>
      <c r="I329" s="14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16"/>
      <c r="B330" s="17"/>
      <c r="C330" s="6"/>
      <c r="D330" s="6"/>
      <c r="E330" s="6"/>
      <c r="F330" s="6"/>
      <c r="G330" s="6"/>
      <c r="H330" s="6"/>
      <c r="I330" s="14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16"/>
      <c r="B331" s="17"/>
      <c r="C331" s="6"/>
      <c r="D331" s="6"/>
      <c r="E331" s="6"/>
      <c r="F331" s="6"/>
      <c r="G331" s="6"/>
      <c r="H331" s="6"/>
      <c r="I331" s="14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16"/>
      <c r="B332" s="17"/>
      <c r="C332" s="6"/>
      <c r="D332" s="6"/>
      <c r="E332" s="6"/>
      <c r="F332" s="6"/>
      <c r="G332" s="6"/>
      <c r="H332" s="6"/>
      <c r="I332" s="14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16"/>
      <c r="B333" s="17"/>
      <c r="C333" s="6"/>
      <c r="D333" s="6"/>
      <c r="E333" s="6"/>
      <c r="F333" s="6"/>
      <c r="G333" s="6"/>
      <c r="H333" s="6"/>
      <c r="I333" s="14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16"/>
      <c r="B334" s="17"/>
      <c r="C334" s="6"/>
      <c r="D334" s="6"/>
      <c r="E334" s="6"/>
      <c r="F334" s="6"/>
      <c r="G334" s="6"/>
      <c r="H334" s="6"/>
      <c r="I334" s="14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16"/>
      <c r="B335" s="17"/>
      <c r="C335" s="6"/>
      <c r="D335" s="6"/>
      <c r="E335" s="6"/>
      <c r="F335" s="6"/>
      <c r="G335" s="6"/>
      <c r="H335" s="6"/>
      <c r="I335" s="14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16"/>
      <c r="B336" s="17"/>
      <c r="C336" s="6"/>
      <c r="D336" s="6"/>
      <c r="E336" s="6"/>
      <c r="F336" s="6"/>
      <c r="G336" s="6"/>
      <c r="H336" s="6"/>
      <c r="I336" s="14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16"/>
      <c r="B337" s="17"/>
      <c r="C337" s="6"/>
      <c r="D337" s="6"/>
      <c r="E337" s="6"/>
      <c r="F337" s="6"/>
      <c r="G337" s="6"/>
      <c r="H337" s="6"/>
      <c r="I337" s="14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16"/>
      <c r="B338" s="17"/>
      <c r="C338" s="6"/>
      <c r="D338" s="6"/>
      <c r="E338" s="6"/>
      <c r="F338" s="6"/>
      <c r="G338" s="6"/>
      <c r="H338" s="6"/>
      <c r="I338" s="14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16"/>
      <c r="B339" s="17"/>
      <c r="C339" s="6"/>
      <c r="D339" s="6"/>
      <c r="E339" s="6"/>
      <c r="F339" s="6"/>
      <c r="G339" s="6"/>
      <c r="H339" s="6"/>
      <c r="I339" s="14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16"/>
      <c r="B340" s="17"/>
      <c r="C340" s="6"/>
      <c r="D340" s="6"/>
      <c r="E340" s="6"/>
      <c r="F340" s="6"/>
      <c r="G340" s="6"/>
      <c r="H340" s="6"/>
      <c r="I340" s="14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16"/>
      <c r="B341" s="17"/>
      <c r="C341" s="6"/>
      <c r="D341" s="6"/>
      <c r="E341" s="6"/>
      <c r="F341" s="6"/>
      <c r="G341" s="6"/>
      <c r="H341" s="6"/>
      <c r="I341" s="14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16"/>
      <c r="B342" s="17"/>
      <c r="C342" s="6"/>
      <c r="D342" s="6"/>
      <c r="E342" s="6"/>
      <c r="F342" s="6"/>
      <c r="G342" s="6"/>
      <c r="H342" s="6"/>
      <c r="I342" s="14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16"/>
      <c r="B343" s="17"/>
      <c r="C343" s="6"/>
      <c r="D343" s="6"/>
      <c r="E343" s="6"/>
      <c r="F343" s="6"/>
      <c r="G343" s="6"/>
      <c r="H343" s="6"/>
      <c r="I343" s="14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16"/>
      <c r="B344" s="17"/>
      <c r="C344" s="6"/>
      <c r="D344" s="6"/>
      <c r="E344" s="6"/>
      <c r="F344" s="6"/>
      <c r="G344" s="6"/>
      <c r="H344" s="6"/>
      <c r="I344" s="14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16"/>
      <c r="B345" s="17"/>
      <c r="C345" s="6"/>
      <c r="D345" s="6"/>
      <c r="E345" s="6"/>
      <c r="F345" s="6"/>
      <c r="G345" s="6"/>
      <c r="H345" s="6"/>
      <c r="I345" s="14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16"/>
      <c r="B346" s="17"/>
      <c r="C346" s="6"/>
      <c r="D346" s="6"/>
      <c r="E346" s="6"/>
      <c r="F346" s="6"/>
      <c r="G346" s="6"/>
      <c r="H346" s="6"/>
      <c r="I346" s="14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16"/>
      <c r="B347" s="17"/>
      <c r="C347" s="6"/>
      <c r="D347" s="6"/>
      <c r="E347" s="6"/>
      <c r="F347" s="6"/>
      <c r="G347" s="6"/>
      <c r="H347" s="6"/>
      <c r="I347" s="14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16"/>
      <c r="B348" s="17"/>
      <c r="C348" s="6"/>
      <c r="D348" s="6"/>
      <c r="E348" s="6"/>
      <c r="F348" s="6"/>
      <c r="G348" s="6"/>
      <c r="H348" s="6"/>
      <c r="I348" s="14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16"/>
      <c r="B349" s="17"/>
      <c r="C349" s="6"/>
      <c r="D349" s="6"/>
      <c r="E349" s="6"/>
      <c r="F349" s="6"/>
      <c r="G349" s="6"/>
      <c r="H349" s="6"/>
      <c r="I349" s="14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16"/>
      <c r="B350" s="17"/>
      <c r="C350" s="6"/>
      <c r="D350" s="6"/>
      <c r="E350" s="6"/>
      <c r="F350" s="6"/>
      <c r="G350" s="6"/>
      <c r="H350" s="6"/>
      <c r="I350" s="14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16"/>
      <c r="B351" s="17"/>
      <c r="C351" s="6"/>
      <c r="D351" s="6"/>
      <c r="E351" s="6"/>
      <c r="F351" s="6"/>
      <c r="G351" s="6"/>
      <c r="H351" s="6"/>
      <c r="I351" s="14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16"/>
      <c r="B352" s="17"/>
      <c r="C352" s="6"/>
      <c r="D352" s="6"/>
      <c r="E352" s="6"/>
      <c r="F352" s="6"/>
      <c r="G352" s="6"/>
      <c r="H352" s="6"/>
      <c r="I352" s="14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16"/>
      <c r="B353" s="17"/>
      <c r="C353" s="6"/>
      <c r="D353" s="6"/>
      <c r="E353" s="6"/>
      <c r="F353" s="6"/>
      <c r="G353" s="6"/>
      <c r="H353" s="6"/>
      <c r="I353" s="14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16"/>
      <c r="B354" s="17"/>
      <c r="C354" s="6"/>
      <c r="D354" s="6"/>
      <c r="E354" s="6"/>
      <c r="F354" s="6"/>
      <c r="G354" s="6"/>
      <c r="H354" s="6"/>
      <c r="I354" s="14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16"/>
      <c r="B355" s="17"/>
      <c r="C355" s="6"/>
      <c r="D355" s="6"/>
      <c r="E355" s="6"/>
      <c r="F355" s="6"/>
      <c r="G355" s="6"/>
      <c r="H355" s="6"/>
      <c r="I355" s="14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16"/>
      <c r="B356" s="17"/>
      <c r="C356" s="6"/>
      <c r="D356" s="6"/>
      <c r="E356" s="6"/>
      <c r="F356" s="6"/>
      <c r="G356" s="6"/>
      <c r="H356" s="6"/>
      <c r="I356" s="14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16"/>
      <c r="B357" s="17"/>
      <c r="C357" s="6"/>
      <c r="D357" s="6"/>
      <c r="E357" s="6"/>
      <c r="F357" s="6"/>
      <c r="G357" s="6"/>
      <c r="H357" s="6"/>
      <c r="I357" s="14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16"/>
      <c r="B358" s="17"/>
      <c r="C358" s="6"/>
      <c r="D358" s="6"/>
      <c r="E358" s="6"/>
      <c r="F358" s="6"/>
      <c r="G358" s="6"/>
      <c r="H358" s="6"/>
      <c r="I358" s="14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16"/>
      <c r="B359" s="17"/>
      <c r="C359" s="6"/>
      <c r="D359" s="6"/>
      <c r="E359" s="6"/>
      <c r="F359" s="6"/>
      <c r="G359" s="6"/>
      <c r="H359" s="6"/>
      <c r="I359" s="14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16"/>
      <c r="B360" s="17"/>
      <c r="C360" s="6"/>
      <c r="D360" s="6"/>
      <c r="E360" s="6"/>
      <c r="F360" s="6"/>
      <c r="G360" s="6"/>
      <c r="H360" s="6"/>
      <c r="I360" s="14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16"/>
      <c r="B361" s="17"/>
      <c r="C361" s="6"/>
      <c r="D361" s="6"/>
      <c r="E361" s="6"/>
      <c r="F361" s="6"/>
      <c r="G361" s="6"/>
      <c r="H361" s="6"/>
      <c r="I361" s="14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16"/>
      <c r="B362" s="17"/>
      <c r="C362" s="6"/>
      <c r="D362" s="6"/>
      <c r="E362" s="6"/>
      <c r="F362" s="6"/>
      <c r="G362" s="6"/>
      <c r="H362" s="6"/>
      <c r="I362" s="14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16"/>
      <c r="B363" s="17"/>
      <c r="C363" s="6"/>
      <c r="D363" s="6"/>
      <c r="E363" s="6"/>
      <c r="F363" s="6"/>
      <c r="G363" s="6"/>
      <c r="H363" s="6"/>
      <c r="I363" s="14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16"/>
      <c r="B364" s="17"/>
      <c r="C364" s="6"/>
      <c r="D364" s="6"/>
      <c r="E364" s="6"/>
      <c r="F364" s="6"/>
      <c r="G364" s="6"/>
      <c r="H364" s="6"/>
      <c r="I364" s="14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16"/>
      <c r="B365" s="17"/>
      <c r="C365" s="6"/>
      <c r="D365" s="6"/>
      <c r="E365" s="6"/>
      <c r="F365" s="6"/>
      <c r="G365" s="6"/>
      <c r="H365" s="6"/>
      <c r="I365" s="14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16"/>
      <c r="B366" s="17"/>
      <c r="C366" s="6"/>
      <c r="D366" s="6"/>
      <c r="E366" s="6"/>
      <c r="F366" s="6"/>
      <c r="G366" s="6"/>
      <c r="H366" s="6"/>
      <c r="I366" s="14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16"/>
      <c r="B367" s="17"/>
      <c r="C367" s="6"/>
      <c r="D367" s="6"/>
      <c r="E367" s="6"/>
      <c r="F367" s="6"/>
      <c r="G367" s="6"/>
      <c r="H367" s="6"/>
      <c r="I367" s="14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16"/>
      <c r="B368" s="17"/>
      <c r="C368" s="6"/>
      <c r="D368" s="6"/>
      <c r="E368" s="6"/>
      <c r="F368" s="6"/>
      <c r="G368" s="6"/>
      <c r="H368" s="6"/>
      <c r="I368" s="14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16"/>
      <c r="B369" s="17"/>
      <c r="C369" s="6"/>
      <c r="D369" s="6"/>
      <c r="E369" s="6"/>
      <c r="F369" s="6"/>
      <c r="G369" s="6"/>
      <c r="H369" s="6"/>
      <c r="I369" s="14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16"/>
      <c r="B370" s="17"/>
      <c r="C370" s="6"/>
      <c r="D370" s="6"/>
      <c r="E370" s="6"/>
      <c r="F370" s="6"/>
      <c r="G370" s="6"/>
      <c r="H370" s="6"/>
      <c r="I370" s="14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16"/>
      <c r="B371" s="17"/>
      <c r="C371" s="6"/>
      <c r="D371" s="6"/>
      <c r="E371" s="6"/>
      <c r="F371" s="6"/>
      <c r="G371" s="6"/>
      <c r="H371" s="6"/>
      <c r="I371" s="14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16"/>
      <c r="B372" s="17"/>
      <c r="C372" s="6"/>
      <c r="D372" s="6"/>
      <c r="E372" s="6"/>
      <c r="F372" s="6"/>
      <c r="G372" s="6"/>
      <c r="H372" s="6"/>
      <c r="I372" s="14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16"/>
      <c r="B373" s="17"/>
      <c r="C373" s="6"/>
      <c r="D373" s="6"/>
      <c r="E373" s="6"/>
      <c r="F373" s="6"/>
      <c r="G373" s="6"/>
      <c r="H373" s="6"/>
      <c r="I373" s="14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16"/>
      <c r="B374" s="17"/>
      <c r="C374" s="6"/>
      <c r="D374" s="6"/>
      <c r="E374" s="6"/>
      <c r="F374" s="6"/>
      <c r="G374" s="6"/>
      <c r="H374" s="6"/>
      <c r="I374" s="14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16"/>
      <c r="B375" s="17"/>
      <c r="C375" s="6"/>
      <c r="D375" s="6"/>
      <c r="E375" s="6"/>
      <c r="F375" s="6"/>
      <c r="G375" s="6"/>
      <c r="H375" s="6"/>
      <c r="I375" s="14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16"/>
      <c r="B376" s="17"/>
      <c r="C376" s="6"/>
      <c r="D376" s="6"/>
      <c r="E376" s="6"/>
      <c r="F376" s="6"/>
      <c r="G376" s="6"/>
      <c r="H376" s="6"/>
      <c r="I376" s="14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16"/>
      <c r="B377" s="17"/>
      <c r="C377" s="6"/>
      <c r="D377" s="6"/>
      <c r="E377" s="6"/>
      <c r="F377" s="6"/>
      <c r="G377" s="6"/>
      <c r="H377" s="6"/>
      <c r="I377" s="14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16"/>
      <c r="B378" s="17"/>
      <c r="C378" s="6"/>
      <c r="D378" s="6"/>
      <c r="E378" s="6"/>
      <c r="F378" s="6"/>
      <c r="G378" s="6"/>
      <c r="H378" s="6"/>
      <c r="I378" s="14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16"/>
      <c r="B379" s="17"/>
      <c r="C379" s="6"/>
      <c r="D379" s="6"/>
      <c r="E379" s="6"/>
      <c r="F379" s="6"/>
      <c r="G379" s="6"/>
      <c r="H379" s="6"/>
      <c r="I379" s="14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16"/>
      <c r="B380" s="17"/>
      <c r="C380" s="6"/>
      <c r="D380" s="6"/>
      <c r="E380" s="6"/>
      <c r="F380" s="6"/>
      <c r="G380" s="6"/>
      <c r="H380" s="6"/>
      <c r="I380" s="14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16"/>
      <c r="B381" s="17"/>
      <c r="C381" s="6"/>
      <c r="D381" s="6"/>
      <c r="E381" s="6"/>
      <c r="F381" s="6"/>
      <c r="G381" s="6"/>
      <c r="H381" s="6"/>
      <c r="I381" s="14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16"/>
      <c r="B382" s="17"/>
      <c r="C382" s="6"/>
      <c r="D382" s="6"/>
      <c r="E382" s="6"/>
      <c r="F382" s="6"/>
      <c r="G382" s="6"/>
      <c r="H382" s="6"/>
      <c r="I382" s="14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16"/>
      <c r="B383" s="17"/>
      <c r="C383" s="6"/>
      <c r="D383" s="6"/>
      <c r="E383" s="6"/>
      <c r="F383" s="6"/>
      <c r="G383" s="6"/>
      <c r="H383" s="6"/>
      <c r="I383" s="14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16"/>
      <c r="B384" s="17"/>
      <c r="C384" s="6"/>
      <c r="D384" s="6"/>
      <c r="E384" s="6"/>
      <c r="F384" s="6"/>
      <c r="G384" s="6"/>
      <c r="H384" s="6"/>
      <c r="I384" s="14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16"/>
      <c r="B385" s="17"/>
      <c r="C385" s="6"/>
      <c r="D385" s="6"/>
      <c r="E385" s="6"/>
      <c r="F385" s="6"/>
      <c r="G385" s="6"/>
      <c r="H385" s="6"/>
      <c r="I385" s="14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16"/>
      <c r="B386" s="17"/>
      <c r="C386" s="6"/>
      <c r="D386" s="6"/>
      <c r="E386" s="6"/>
      <c r="F386" s="6"/>
      <c r="G386" s="6"/>
      <c r="H386" s="6"/>
      <c r="I386" s="14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16"/>
      <c r="B387" s="17"/>
      <c r="C387" s="6"/>
      <c r="D387" s="6"/>
      <c r="E387" s="6"/>
      <c r="F387" s="6"/>
      <c r="G387" s="6"/>
      <c r="H387" s="6"/>
      <c r="I387" s="14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16"/>
      <c r="B388" s="17"/>
      <c r="C388" s="6"/>
      <c r="D388" s="6"/>
      <c r="E388" s="6"/>
      <c r="F388" s="6"/>
      <c r="G388" s="6"/>
      <c r="H388" s="6"/>
      <c r="I388" s="14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16"/>
      <c r="B389" s="17"/>
      <c r="C389" s="6"/>
      <c r="D389" s="6"/>
      <c r="E389" s="6"/>
      <c r="F389" s="6"/>
      <c r="G389" s="6"/>
      <c r="H389" s="6"/>
      <c r="I389" s="14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16"/>
      <c r="B390" s="17"/>
      <c r="C390" s="6"/>
      <c r="D390" s="6"/>
      <c r="E390" s="6"/>
      <c r="F390" s="6"/>
      <c r="G390" s="6"/>
      <c r="H390" s="6"/>
      <c r="I390" s="14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16"/>
      <c r="B391" s="17"/>
      <c r="C391" s="6"/>
      <c r="D391" s="6"/>
      <c r="E391" s="6"/>
      <c r="F391" s="6"/>
      <c r="G391" s="6"/>
      <c r="H391" s="6"/>
      <c r="I391" s="14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16"/>
      <c r="B392" s="17"/>
      <c r="C392" s="6"/>
      <c r="D392" s="6"/>
      <c r="E392" s="6"/>
      <c r="F392" s="6"/>
      <c r="G392" s="6"/>
      <c r="H392" s="6"/>
      <c r="I392" s="14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16"/>
      <c r="B393" s="17"/>
      <c r="C393" s="6"/>
      <c r="D393" s="6"/>
      <c r="E393" s="6"/>
      <c r="F393" s="6"/>
      <c r="G393" s="6"/>
      <c r="H393" s="6"/>
      <c r="I393" s="14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16"/>
      <c r="B394" s="17"/>
      <c r="C394" s="6"/>
      <c r="D394" s="6"/>
      <c r="E394" s="6"/>
      <c r="F394" s="6"/>
      <c r="G394" s="6"/>
      <c r="H394" s="6"/>
      <c r="I394" s="14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16"/>
      <c r="B395" s="17"/>
      <c r="C395" s="6"/>
      <c r="D395" s="6"/>
      <c r="E395" s="6"/>
      <c r="F395" s="6"/>
      <c r="G395" s="6"/>
      <c r="H395" s="6"/>
      <c r="I395" s="14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16"/>
      <c r="B396" s="17"/>
      <c r="C396" s="6"/>
      <c r="D396" s="6"/>
      <c r="E396" s="6"/>
      <c r="F396" s="6"/>
      <c r="G396" s="6"/>
      <c r="H396" s="6"/>
      <c r="I396" s="14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16"/>
      <c r="B397" s="17"/>
      <c r="C397" s="6"/>
      <c r="D397" s="6"/>
      <c r="E397" s="6"/>
      <c r="F397" s="6"/>
      <c r="G397" s="6"/>
      <c r="H397" s="6"/>
      <c r="I397" s="14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16"/>
      <c r="B398" s="17"/>
      <c r="C398" s="6"/>
      <c r="D398" s="6"/>
      <c r="E398" s="6"/>
      <c r="F398" s="6"/>
      <c r="G398" s="6"/>
      <c r="H398" s="6"/>
      <c r="I398" s="14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16"/>
      <c r="B399" s="17"/>
      <c r="C399" s="6"/>
      <c r="D399" s="6"/>
      <c r="E399" s="6"/>
      <c r="F399" s="6"/>
      <c r="G399" s="6"/>
      <c r="H399" s="6"/>
      <c r="I399" s="14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16"/>
      <c r="B400" s="17"/>
      <c r="C400" s="6"/>
      <c r="D400" s="6"/>
      <c r="E400" s="6"/>
      <c r="F400" s="6"/>
      <c r="G400" s="6"/>
      <c r="H400" s="6"/>
      <c r="I400" s="14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16"/>
      <c r="B401" s="17"/>
      <c r="C401" s="6"/>
      <c r="D401" s="6"/>
      <c r="E401" s="6"/>
      <c r="F401" s="6"/>
      <c r="G401" s="6"/>
      <c r="H401" s="6"/>
      <c r="I401" s="14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16"/>
      <c r="B402" s="17"/>
      <c r="C402" s="6"/>
      <c r="D402" s="6"/>
      <c r="E402" s="6"/>
      <c r="F402" s="6"/>
      <c r="G402" s="6"/>
      <c r="H402" s="6"/>
      <c r="I402" s="14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16"/>
      <c r="B403" s="17"/>
      <c r="C403" s="6"/>
      <c r="D403" s="6"/>
      <c r="E403" s="6"/>
      <c r="F403" s="6"/>
      <c r="G403" s="6"/>
      <c r="H403" s="6"/>
      <c r="I403" s="14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16"/>
      <c r="B404" s="17"/>
      <c r="C404" s="6"/>
      <c r="D404" s="6"/>
      <c r="E404" s="6"/>
      <c r="F404" s="6"/>
      <c r="G404" s="6"/>
      <c r="H404" s="6"/>
      <c r="I404" s="14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16"/>
      <c r="B405" s="17"/>
      <c r="C405" s="6"/>
      <c r="D405" s="6"/>
      <c r="E405" s="6"/>
      <c r="F405" s="6"/>
      <c r="G405" s="6"/>
      <c r="H405" s="6"/>
      <c r="I405" s="14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16"/>
      <c r="B406" s="17"/>
      <c r="C406" s="6"/>
      <c r="D406" s="6"/>
      <c r="E406" s="6"/>
      <c r="F406" s="6"/>
      <c r="G406" s="6"/>
      <c r="H406" s="6"/>
      <c r="I406" s="14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16"/>
      <c r="B407" s="17"/>
      <c r="C407" s="6"/>
      <c r="D407" s="6"/>
      <c r="E407" s="6"/>
      <c r="F407" s="6"/>
      <c r="G407" s="6"/>
      <c r="H407" s="6"/>
      <c r="I407" s="14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16"/>
      <c r="B408" s="17"/>
      <c r="C408" s="6"/>
      <c r="D408" s="6"/>
      <c r="E408" s="6"/>
      <c r="F408" s="6"/>
      <c r="G408" s="6"/>
      <c r="H408" s="6"/>
      <c r="I408" s="14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16"/>
      <c r="B409" s="17"/>
      <c r="C409" s="6"/>
      <c r="D409" s="6"/>
      <c r="E409" s="6"/>
      <c r="F409" s="6"/>
      <c r="G409" s="6"/>
      <c r="H409" s="6"/>
      <c r="I409" s="14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16"/>
      <c r="B410" s="17"/>
      <c r="C410" s="6"/>
      <c r="D410" s="6"/>
      <c r="E410" s="6"/>
      <c r="F410" s="6"/>
      <c r="G410" s="6"/>
      <c r="H410" s="6"/>
      <c r="I410" s="14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16"/>
      <c r="B411" s="17"/>
      <c r="C411" s="6"/>
      <c r="D411" s="6"/>
      <c r="E411" s="6"/>
      <c r="F411" s="6"/>
      <c r="G411" s="6"/>
      <c r="H411" s="6"/>
      <c r="I411" s="14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16"/>
      <c r="B412" s="17"/>
      <c r="C412" s="6"/>
      <c r="D412" s="6"/>
      <c r="E412" s="6"/>
      <c r="F412" s="6"/>
      <c r="G412" s="6"/>
      <c r="H412" s="6"/>
      <c r="I412" s="14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16"/>
      <c r="B413" s="17"/>
      <c r="C413" s="6"/>
      <c r="D413" s="6"/>
      <c r="E413" s="6"/>
      <c r="F413" s="6"/>
      <c r="G413" s="6"/>
      <c r="H413" s="6"/>
      <c r="I413" s="14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16"/>
      <c r="B414" s="17"/>
      <c r="C414" s="6"/>
      <c r="D414" s="6"/>
      <c r="E414" s="6"/>
      <c r="F414" s="6"/>
      <c r="G414" s="6"/>
      <c r="H414" s="6"/>
      <c r="I414" s="14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16"/>
      <c r="B415" s="17"/>
      <c r="C415" s="6"/>
      <c r="D415" s="6"/>
      <c r="E415" s="6"/>
      <c r="F415" s="6"/>
      <c r="G415" s="6"/>
      <c r="H415" s="6"/>
      <c r="I415" s="14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16"/>
      <c r="B416" s="17"/>
      <c r="C416" s="6"/>
      <c r="D416" s="6"/>
      <c r="E416" s="6"/>
      <c r="F416" s="6"/>
      <c r="G416" s="6"/>
      <c r="H416" s="6"/>
      <c r="I416" s="14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16"/>
      <c r="B417" s="17"/>
      <c r="C417" s="6"/>
      <c r="D417" s="6"/>
      <c r="E417" s="6"/>
      <c r="F417" s="6"/>
      <c r="G417" s="6"/>
      <c r="H417" s="6"/>
      <c r="I417" s="14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16"/>
      <c r="B418" s="17"/>
      <c r="C418" s="6"/>
      <c r="D418" s="6"/>
      <c r="E418" s="6"/>
      <c r="F418" s="6"/>
      <c r="G418" s="6"/>
      <c r="H418" s="6"/>
      <c r="I418" s="14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16"/>
      <c r="B419" s="17"/>
      <c r="C419" s="6"/>
      <c r="D419" s="6"/>
      <c r="E419" s="6"/>
      <c r="F419" s="6"/>
      <c r="G419" s="6"/>
      <c r="H419" s="6"/>
      <c r="I419" s="14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16"/>
      <c r="B420" s="17"/>
      <c r="C420" s="6"/>
      <c r="D420" s="6"/>
      <c r="E420" s="6"/>
      <c r="F420" s="6"/>
      <c r="G420" s="6"/>
      <c r="H420" s="6"/>
      <c r="I420" s="14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16"/>
      <c r="B421" s="17"/>
      <c r="C421" s="6"/>
      <c r="D421" s="6"/>
      <c r="E421" s="6"/>
      <c r="F421" s="6"/>
      <c r="G421" s="6"/>
      <c r="H421" s="6"/>
      <c r="I421" s="14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16"/>
      <c r="B422" s="17"/>
      <c r="C422" s="6"/>
      <c r="D422" s="6"/>
      <c r="E422" s="6"/>
      <c r="F422" s="6"/>
      <c r="G422" s="6"/>
      <c r="H422" s="6"/>
      <c r="I422" s="14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16"/>
      <c r="B423" s="17"/>
      <c r="C423" s="6"/>
      <c r="D423" s="6"/>
      <c r="E423" s="6"/>
      <c r="F423" s="6"/>
      <c r="G423" s="6"/>
      <c r="H423" s="6"/>
      <c r="I423" s="14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16"/>
      <c r="B424" s="17"/>
      <c r="C424" s="6"/>
      <c r="D424" s="6"/>
      <c r="E424" s="6"/>
      <c r="F424" s="6"/>
      <c r="G424" s="6"/>
      <c r="H424" s="6"/>
      <c r="I424" s="14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16"/>
      <c r="B425" s="17"/>
      <c r="C425" s="6"/>
      <c r="D425" s="6"/>
      <c r="E425" s="6"/>
      <c r="F425" s="6"/>
      <c r="G425" s="6"/>
      <c r="H425" s="6"/>
      <c r="I425" s="14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16"/>
      <c r="B426" s="17"/>
      <c r="C426" s="6"/>
      <c r="D426" s="6"/>
      <c r="E426" s="6"/>
      <c r="F426" s="6"/>
      <c r="G426" s="6"/>
      <c r="H426" s="6"/>
      <c r="I426" s="14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16"/>
      <c r="B427" s="17"/>
      <c r="C427" s="6"/>
      <c r="D427" s="6"/>
      <c r="E427" s="6"/>
      <c r="F427" s="6"/>
      <c r="G427" s="6"/>
      <c r="H427" s="6"/>
      <c r="I427" s="14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16"/>
      <c r="B428" s="17"/>
      <c r="C428" s="6"/>
      <c r="D428" s="6"/>
      <c r="E428" s="6"/>
      <c r="F428" s="6"/>
      <c r="G428" s="6"/>
      <c r="H428" s="6"/>
      <c r="I428" s="14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16"/>
      <c r="B429" s="17"/>
      <c r="C429" s="6"/>
      <c r="D429" s="6"/>
      <c r="E429" s="6"/>
      <c r="F429" s="6"/>
      <c r="G429" s="6"/>
      <c r="H429" s="6"/>
      <c r="I429" s="14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16"/>
      <c r="B430" s="17"/>
      <c r="C430" s="6"/>
      <c r="D430" s="6"/>
      <c r="E430" s="6"/>
      <c r="F430" s="6"/>
      <c r="G430" s="6"/>
      <c r="H430" s="6"/>
      <c r="I430" s="14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16"/>
      <c r="B431" s="17"/>
      <c r="C431" s="6"/>
      <c r="D431" s="6"/>
      <c r="E431" s="6"/>
      <c r="F431" s="6"/>
      <c r="G431" s="6"/>
      <c r="H431" s="6"/>
      <c r="I431" s="14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16"/>
      <c r="B432" s="17"/>
      <c r="C432" s="6"/>
      <c r="D432" s="6"/>
      <c r="E432" s="6"/>
      <c r="F432" s="6"/>
      <c r="G432" s="6"/>
      <c r="H432" s="6"/>
      <c r="I432" s="14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16"/>
      <c r="B433" s="17"/>
      <c r="C433" s="6"/>
      <c r="D433" s="6"/>
      <c r="E433" s="6"/>
      <c r="F433" s="6"/>
      <c r="G433" s="6"/>
      <c r="H433" s="6"/>
      <c r="I433" s="14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16"/>
      <c r="B434" s="17"/>
      <c r="C434" s="6"/>
      <c r="D434" s="6"/>
      <c r="E434" s="6"/>
      <c r="F434" s="6"/>
      <c r="G434" s="6"/>
      <c r="H434" s="6"/>
      <c r="I434" s="14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16"/>
      <c r="B435" s="17"/>
      <c r="C435" s="6"/>
      <c r="D435" s="6"/>
      <c r="E435" s="6"/>
      <c r="F435" s="6"/>
      <c r="G435" s="6"/>
      <c r="H435" s="6"/>
      <c r="I435" s="14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16"/>
      <c r="B436" s="17"/>
      <c r="C436" s="6"/>
      <c r="D436" s="6"/>
      <c r="E436" s="6"/>
      <c r="F436" s="6"/>
      <c r="G436" s="6"/>
      <c r="H436" s="6"/>
      <c r="I436" s="14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16"/>
      <c r="B437" s="17"/>
      <c r="C437" s="6"/>
      <c r="D437" s="6"/>
      <c r="E437" s="6"/>
      <c r="F437" s="6"/>
      <c r="G437" s="6"/>
      <c r="H437" s="6"/>
      <c r="I437" s="14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16"/>
      <c r="B438" s="17"/>
      <c r="C438" s="6"/>
      <c r="D438" s="6"/>
      <c r="E438" s="6"/>
      <c r="F438" s="6"/>
      <c r="G438" s="6"/>
      <c r="H438" s="6"/>
      <c r="I438" s="14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16"/>
      <c r="B439" s="17"/>
      <c r="C439" s="6"/>
      <c r="D439" s="6"/>
      <c r="E439" s="6"/>
      <c r="F439" s="6"/>
      <c r="G439" s="6"/>
      <c r="H439" s="6"/>
      <c r="I439" s="14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16"/>
      <c r="B440" s="17"/>
      <c r="C440" s="6"/>
      <c r="D440" s="6"/>
      <c r="E440" s="6"/>
      <c r="F440" s="6"/>
      <c r="G440" s="6"/>
      <c r="H440" s="6"/>
      <c r="I440" s="14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16"/>
      <c r="B441" s="17"/>
      <c r="C441" s="6"/>
      <c r="D441" s="6"/>
      <c r="E441" s="6"/>
      <c r="F441" s="6"/>
      <c r="G441" s="6"/>
      <c r="H441" s="6"/>
      <c r="I441" s="14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16"/>
      <c r="B442" s="17"/>
      <c r="C442" s="6"/>
      <c r="D442" s="6"/>
      <c r="E442" s="6"/>
      <c r="F442" s="6"/>
      <c r="G442" s="6"/>
      <c r="H442" s="6"/>
      <c r="I442" s="14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16"/>
      <c r="B443" s="17"/>
      <c r="C443" s="6"/>
      <c r="D443" s="6"/>
      <c r="E443" s="6"/>
      <c r="F443" s="6"/>
      <c r="G443" s="6"/>
      <c r="H443" s="6"/>
      <c r="I443" s="14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16"/>
      <c r="B444" s="17"/>
      <c r="C444" s="6"/>
      <c r="D444" s="6"/>
      <c r="E444" s="6"/>
      <c r="F444" s="6"/>
      <c r="G444" s="6"/>
      <c r="H444" s="6"/>
      <c r="I444" s="14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16"/>
      <c r="B445" s="17"/>
      <c r="C445" s="6"/>
      <c r="D445" s="6"/>
      <c r="E445" s="6"/>
      <c r="F445" s="6"/>
      <c r="G445" s="6"/>
      <c r="H445" s="6"/>
      <c r="I445" s="14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16"/>
      <c r="B446" s="17"/>
      <c r="C446" s="6"/>
      <c r="D446" s="6"/>
      <c r="E446" s="6"/>
      <c r="F446" s="6"/>
      <c r="G446" s="6"/>
      <c r="H446" s="6"/>
      <c r="I446" s="14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16"/>
      <c r="B447" s="17"/>
      <c r="C447" s="6"/>
      <c r="D447" s="6"/>
      <c r="E447" s="6"/>
      <c r="F447" s="6"/>
      <c r="G447" s="6"/>
      <c r="H447" s="6"/>
      <c r="I447" s="14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16"/>
      <c r="B448" s="17"/>
      <c r="C448" s="6"/>
      <c r="D448" s="6"/>
      <c r="E448" s="6"/>
      <c r="F448" s="6"/>
      <c r="G448" s="6"/>
      <c r="H448" s="6"/>
      <c r="I448" s="14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16"/>
      <c r="B449" s="17"/>
      <c r="C449" s="6"/>
      <c r="D449" s="6"/>
      <c r="E449" s="6"/>
      <c r="F449" s="6"/>
      <c r="G449" s="6"/>
      <c r="H449" s="6"/>
      <c r="I449" s="14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16"/>
      <c r="B450" s="17"/>
      <c r="C450" s="6"/>
      <c r="D450" s="6"/>
      <c r="E450" s="6"/>
      <c r="F450" s="6"/>
      <c r="G450" s="6"/>
      <c r="H450" s="6"/>
      <c r="I450" s="14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16"/>
      <c r="B451" s="17"/>
      <c r="C451" s="6"/>
      <c r="D451" s="6"/>
      <c r="E451" s="6"/>
      <c r="F451" s="6"/>
      <c r="G451" s="6"/>
      <c r="H451" s="6"/>
      <c r="I451" s="14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16"/>
      <c r="B452" s="17"/>
      <c r="C452" s="6"/>
      <c r="D452" s="6"/>
      <c r="E452" s="6"/>
      <c r="F452" s="6"/>
      <c r="G452" s="6"/>
      <c r="H452" s="6"/>
      <c r="I452" s="14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16"/>
      <c r="B453" s="17"/>
      <c r="C453" s="6"/>
      <c r="D453" s="6"/>
      <c r="E453" s="6"/>
      <c r="F453" s="6"/>
      <c r="G453" s="6"/>
      <c r="H453" s="6"/>
      <c r="I453" s="14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16"/>
      <c r="B454" s="17"/>
      <c r="C454" s="6"/>
      <c r="D454" s="6"/>
      <c r="E454" s="6"/>
      <c r="F454" s="6"/>
      <c r="G454" s="6"/>
      <c r="H454" s="6"/>
      <c r="I454" s="14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16"/>
      <c r="B455" s="17"/>
      <c r="C455" s="6"/>
      <c r="D455" s="6"/>
      <c r="E455" s="6"/>
      <c r="F455" s="6"/>
      <c r="G455" s="6"/>
      <c r="H455" s="6"/>
      <c r="I455" s="14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16"/>
      <c r="B456" s="17"/>
      <c r="C456" s="6"/>
      <c r="D456" s="6"/>
      <c r="E456" s="6"/>
      <c r="F456" s="6"/>
      <c r="G456" s="6"/>
      <c r="H456" s="6"/>
      <c r="I456" s="14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16"/>
      <c r="B457" s="17"/>
      <c r="C457" s="6"/>
      <c r="D457" s="6"/>
      <c r="E457" s="6"/>
      <c r="F457" s="6"/>
      <c r="G457" s="6"/>
      <c r="H457" s="6"/>
      <c r="I457" s="14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16"/>
      <c r="B458" s="17"/>
      <c r="C458" s="6"/>
      <c r="D458" s="6"/>
      <c r="E458" s="6"/>
      <c r="F458" s="6"/>
      <c r="G458" s="6"/>
      <c r="H458" s="6"/>
      <c r="I458" s="14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16"/>
      <c r="B459" s="17"/>
      <c r="C459" s="6"/>
      <c r="D459" s="6"/>
      <c r="E459" s="6"/>
      <c r="F459" s="6"/>
      <c r="G459" s="6"/>
      <c r="H459" s="6"/>
      <c r="I459" s="14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16"/>
      <c r="B460" s="17"/>
      <c r="C460" s="6"/>
      <c r="D460" s="6"/>
      <c r="E460" s="6"/>
      <c r="F460" s="6"/>
      <c r="G460" s="6"/>
      <c r="H460" s="6"/>
      <c r="I460" s="14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16"/>
      <c r="B461" s="17"/>
      <c r="C461" s="6"/>
      <c r="D461" s="6"/>
      <c r="E461" s="6"/>
      <c r="F461" s="6"/>
      <c r="G461" s="6"/>
      <c r="H461" s="6"/>
      <c r="I461" s="14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16"/>
      <c r="B462" s="17"/>
      <c r="C462" s="6"/>
      <c r="D462" s="6"/>
      <c r="E462" s="6"/>
      <c r="F462" s="6"/>
      <c r="G462" s="6"/>
      <c r="H462" s="6"/>
      <c r="I462" s="14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16"/>
      <c r="B463" s="17"/>
      <c r="C463" s="6"/>
      <c r="D463" s="6"/>
      <c r="E463" s="6"/>
      <c r="F463" s="6"/>
      <c r="G463" s="6"/>
      <c r="H463" s="6"/>
      <c r="I463" s="14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16"/>
      <c r="B464" s="17"/>
      <c r="C464" s="6"/>
      <c r="D464" s="6"/>
      <c r="E464" s="6"/>
      <c r="F464" s="6"/>
      <c r="G464" s="6"/>
      <c r="H464" s="6"/>
      <c r="I464" s="14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16"/>
      <c r="B465" s="17"/>
      <c r="C465" s="6"/>
      <c r="D465" s="6"/>
      <c r="E465" s="6"/>
      <c r="F465" s="6"/>
      <c r="G465" s="6"/>
      <c r="H465" s="6"/>
      <c r="I465" s="14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16"/>
      <c r="B466" s="17"/>
      <c r="C466" s="6"/>
      <c r="D466" s="6"/>
      <c r="E466" s="6"/>
      <c r="F466" s="6"/>
      <c r="G466" s="6"/>
      <c r="H466" s="6"/>
      <c r="I466" s="14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16"/>
      <c r="B467" s="17"/>
      <c r="C467" s="6"/>
      <c r="D467" s="6"/>
      <c r="E467" s="6"/>
      <c r="F467" s="6"/>
      <c r="G467" s="6"/>
      <c r="H467" s="6"/>
      <c r="I467" s="14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16"/>
      <c r="B468" s="17"/>
      <c r="C468" s="6"/>
      <c r="D468" s="6"/>
      <c r="E468" s="6"/>
      <c r="F468" s="6"/>
      <c r="G468" s="6"/>
      <c r="H468" s="6"/>
      <c r="I468" s="14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16"/>
      <c r="B469" s="17"/>
      <c r="C469" s="6"/>
      <c r="D469" s="6"/>
      <c r="E469" s="6"/>
      <c r="F469" s="6"/>
      <c r="G469" s="6"/>
      <c r="H469" s="6"/>
      <c r="I469" s="14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16"/>
      <c r="B470" s="17"/>
      <c r="C470" s="6"/>
      <c r="D470" s="6"/>
      <c r="E470" s="6"/>
      <c r="F470" s="6"/>
      <c r="G470" s="6"/>
      <c r="H470" s="6"/>
      <c r="I470" s="14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16"/>
      <c r="B471" s="17"/>
      <c r="C471" s="6"/>
      <c r="D471" s="6"/>
      <c r="E471" s="6"/>
      <c r="F471" s="6"/>
      <c r="G471" s="6"/>
      <c r="H471" s="6"/>
      <c r="I471" s="14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16"/>
      <c r="B472" s="17"/>
      <c r="C472" s="6"/>
      <c r="D472" s="6"/>
      <c r="E472" s="6"/>
      <c r="F472" s="6"/>
      <c r="G472" s="6"/>
      <c r="H472" s="6"/>
      <c r="I472" s="14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16"/>
      <c r="B473" s="17"/>
      <c r="C473" s="6"/>
      <c r="D473" s="6"/>
      <c r="E473" s="6"/>
      <c r="F473" s="6"/>
      <c r="G473" s="6"/>
      <c r="H473" s="6"/>
      <c r="I473" s="14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16"/>
      <c r="B474" s="17"/>
      <c r="C474" s="6"/>
      <c r="D474" s="6"/>
      <c r="E474" s="6"/>
      <c r="F474" s="6"/>
      <c r="G474" s="6"/>
      <c r="H474" s="6"/>
      <c r="I474" s="14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16"/>
      <c r="B475" s="17"/>
      <c r="C475" s="6"/>
      <c r="D475" s="6"/>
      <c r="E475" s="6"/>
      <c r="F475" s="6"/>
      <c r="G475" s="6"/>
      <c r="H475" s="6"/>
      <c r="I475" s="14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16"/>
      <c r="B476" s="17"/>
      <c r="C476" s="6"/>
      <c r="D476" s="6"/>
      <c r="E476" s="6"/>
      <c r="F476" s="6"/>
      <c r="G476" s="6"/>
      <c r="H476" s="6"/>
      <c r="I476" s="14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16"/>
      <c r="B477" s="17"/>
      <c r="C477" s="6"/>
      <c r="D477" s="6"/>
      <c r="E477" s="6"/>
      <c r="F477" s="6"/>
      <c r="G477" s="6"/>
      <c r="H477" s="6"/>
      <c r="I477" s="14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16"/>
      <c r="B478" s="17"/>
      <c r="C478" s="6"/>
      <c r="D478" s="6"/>
      <c r="E478" s="6"/>
      <c r="F478" s="6"/>
      <c r="G478" s="6"/>
      <c r="H478" s="6"/>
      <c r="I478" s="14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16"/>
      <c r="B479" s="17"/>
      <c r="C479" s="6"/>
      <c r="D479" s="6"/>
      <c r="E479" s="6"/>
      <c r="F479" s="6"/>
      <c r="G479" s="6"/>
      <c r="H479" s="6"/>
      <c r="I479" s="14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16"/>
      <c r="B480" s="17"/>
      <c r="C480" s="6"/>
      <c r="D480" s="6"/>
      <c r="E480" s="6"/>
      <c r="F480" s="6"/>
      <c r="G480" s="6"/>
      <c r="H480" s="6"/>
      <c r="I480" s="14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16"/>
      <c r="B481" s="17"/>
      <c r="C481" s="6"/>
      <c r="D481" s="6"/>
      <c r="E481" s="6"/>
      <c r="F481" s="6"/>
      <c r="G481" s="6"/>
      <c r="H481" s="6"/>
      <c r="I481" s="14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16"/>
      <c r="B482" s="17"/>
      <c r="C482" s="6"/>
      <c r="D482" s="6"/>
      <c r="E482" s="6"/>
      <c r="F482" s="6"/>
      <c r="G482" s="6"/>
      <c r="H482" s="6"/>
      <c r="I482" s="14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16"/>
      <c r="B483" s="17"/>
      <c r="C483" s="6"/>
      <c r="D483" s="6"/>
      <c r="E483" s="6"/>
      <c r="F483" s="6"/>
      <c r="G483" s="6"/>
      <c r="H483" s="6"/>
      <c r="I483" s="14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16"/>
      <c r="B484" s="17"/>
      <c r="C484" s="6"/>
      <c r="D484" s="6"/>
      <c r="E484" s="6"/>
      <c r="F484" s="6"/>
      <c r="G484" s="6"/>
      <c r="H484" s="6"/>
      <c r="I484" s="14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16"/>
      <c r="B485" s="17"/>
      <c r="C485" s="6"/>
      <c r="D485" s="6"/>
      <c r="E485" s="6"/>
      <c r="F485" s="6"/>
      <c r="G485" s="6"/>
      <c r="H485" s="6"/>
      <c r="I485" s="14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16"/>
      <c r="B486" s="17"/>
      <c r="C486" s="6"/>
      <c r="D486" s="6"/>
      <c r="E486" s="6"/>
      <c r="F486" s="6"/>
      <c r="G486" s="6"/>
      <c r="H486" s="6"/>
      <c r="I486" s="14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16"/>
      <c r="B487" s="17"/>
      <c r="C487" s="6"/>
      <c r="D487" s="6"/>
      <c r="E487" s="6"/>
      <c r="F487" s="6"/>
      <c r="G487" s="6"/>
      <c r="H487" s="6"/>
      <c r="I487" s="14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16"/>
      <c r="B488" s="17"/>
      <c r="C488" s="6"/>
      <c r="D488" s="6"/>
      <c r="E488" s="6"/>
      <c r="F488" s="6"/>
      <c r="G488" s="6"/>
      <c r="H488" s="6"/>
      <c r="I488" s="14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16"/>
      <c r="B489" s="17"/>
      <c r="C489" s="6"/>
      <c r="D489" s="6"/>
      <c r="E489" s="6"/>
      <c r="F489" s="6"/>
      <c r="G489" s="6"/>
      <c r="H489" s="6"/>
      <c r="I489" s="14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16"/>
      <c r="B490" s="17"/>
      <c r="C490" s="6"/>
      <c r="D490" s="6"/>
      <c r="E490" s="6"/>
      <c r="F490" s="6"/>
      <c r="G490" s="6"/>
      <c r="H490" s="6"/>
      <c r="I490" s="14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16"/>
      <c r="B491" s="17"/>
      <c r="C491" s="6"/>
      <c r="D491" s="6"/>
      <c r="E491" s="6"/>
      <c r="F491" s="6"/>
      <c r="G491" s="6"/>
      <c r="H491" s="6"/>
      <c r="I491" s="14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16"/>
      <c r="B492" s="17"/>
      <c r="C492" s="6"/>
      <c r="D492" s="6"/>
      <c r="E492" s="6"/>
      <c r="F492" s="6"/>
      <c r="G492" s="6"/>
      <c r="H492" s="6"/>
      <c r="I492" s="14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16"/>
      <c r="B493" s="17"/>
      <c r="C493" s="6"/>
      <c r="D493" s="6"/>
      <c r="E493" s="6"/>
      <c r="F493" s="6"/>
      <c r="G493" s="6"/>
      <c r="H493" s="6"/>
      <c r="I493" s="14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16"/>
      <c r="B494" s="17"/>
      <c r="C494" s="6"/>
      <c r="D494" s="6"/>
      <c r="E494" s="6"/>
      <c r="F494" s="6"/>
      <c r="G494" s="6"/>
      <c r="H494" s="6"/>
      <c r="I494" s="14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16"/>
      <c r="B495" s="17"/>
      <c r="C495" s="6"/>
      <c r="D495" s="6"/>
      <c r="E495" s="6"/>
      <c r="F495" s="6"/>
      <c r="G495" s="6"/>
      <c r="H495" s="6"/>
      <c r="I495" s="14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16"/>
      <c r="B496" s="17"/>
      <c r="C496" s="6"/>
      <c r="D496" s="6"/>
      <c r="E496" s="6"/>
      <c r="F496" s="6"/>
      <c r="G496" s="6"/>
      <c r="H496" s="6"/>
      <c r="I496" s="14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16"/>
      <c r="B497" s="17"/>
      <c r="C497" s="6"/>
      <c r="D497" s="6"/>
      <c r="E497" s="6"/>
      <c r="F497" s="6"/>
      <c r="G497" s="6"/>
      <c r="H497" s="6"/>
      <c r="I497" s="14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16"/>
      <c r="B498" s="17"/>
      <c r="C498" s="6"/>
      <c r="D498" s="6"/>
      <c r="E498" s="6"/>
      <c r="F498" s="6"/>
      <c r="G498" s="6"/>
      <c r="H498" s="6"/>
      <c r="I498" s="14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16"/>
      <c r="B499" s="17"/>
      <c r="C499" s="6"/>
      <c r="D499" s="6"/>
      <c r="E499" s="6"/>
      <c r="F499" s="6"/>
      <c r="G499" s="6"/>
      <c r="H499" s="6"/>
      <c r="I499" s="14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16"/>
      <c r="B500" s="17"/>
      <c r="C500" s="6"/>
      <c r="D500" s="6"/>
      <c r="E500" s="6"/>
      <c r="F500" s="6"/>
      <c r="G500" s="6"/>
      <c r="H500" s="6"/>
      <c r="I500" s="14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16"/>
      <c r="B501" s="17"/>
      <c r="C501" s="6"/>
      <c r="D501" s="6"/>
      <c r="E501" s="6"/>
      <c r="F501" s="6"/>
      <c r="G501" s="6"/>
      <c r="H501" s="6"/>
      <c r="I501" s="14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16"/>
      <c r="B502" s="17"/>
      <c r="C502" s="6"/>
      <c r="D502" s="6"/>
      <c r="E502" s="6"/>
      <c r="F502" s="6"/>
      <c r="G502" s="6"/>
      <c r="H502" s="6"/>
      <c r="I502" s="14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16"/>
      <c r="B503" s="17"/>
      <c r="C503" s="6"/>
      <c r="D503" s="6"/>
      <c r="E503" s="6"/>
      <c r="F503" s="6"/>
      <c r="G503" s="6"/>
      <c r="H503" s="6"/>
      <c r="I503" s="14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16"/>
      <c r="B504" s="17"/>
      <c r="C504" s="6"/>
      <c r="D504" s="6"/>
      <c r="E504" s="6"/>
      <c r="F504" s="6"/>
      <c r="G504" s="6"/>
      <c r="H504" s="6"/>
      <c r="I504" s="14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16"/>
      <c r="B505" s="17"/>
      <c r="C505" s="6"/>
      <c r="D505" s="6"/>
      <c r="E505" s="6"/>
      <c r="F505" s="6"/>
      <c r="G505" s="6"/>
      <c r="H505" s="6"/>
      <c r="I505" s="14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16"/>
      <c r="B506" s="17"/>
      <c r="C506" s="6"/>
      <c r="D506" s="6"/>
      <c r="E506" s="6"/>
      <c r="F506" s="6"/>
      <c r="G506" s="6"/>
      <c r="H506" s="6"/>
      <c r="I506" s="14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16"/>
      <c r="B507" s="17"/>
      <c r="C507" s="6"/>
      <c r="D507" s="6"/>
      <c r="E507" s="6"/>
      <c r="F507" s="6"/>
      <c r="G507" s="6"/>
      <c r="H507" s="6"/>
      <c r="I507" s="14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16"/>
      <c r="B508" s="17"/>
      <c r="C508" s="6"/>
      <c r="D508" s="6"/>
      <c r="E508" s="6"/>
      <c r="F508" s="6"/>
      <c r="G508" s="6"/>
      <c r="H508" s="6"/>
      <c r="I508" s="14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16"/>
      <c r="B509" s="17"/>
      <c r="C509" s="6"/>
      <c r="D509" s="6"/>
      <c r="E509" s="6"/>
      <c r="F509" s="6"/>
      <c r="G509" s="6"/>
      <c r="H509" s="6"/>
      <c r="I509" s="14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16"/>
      <c r="B510" s="17"/>
      <c r="C510" s="6"/>
      <c r="D510" s="6"/>
      <c r="E510" s="6"/>
      <c r="F510" s="6"/>
      <c r="G510" s="6"/>
      <c r="H510" s="6"/>
      <c r="I510" s="14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16"/>
      <c r="B511" s="17"/>
      <c r="C511" s="6"/>
      <c r="D511" s="6"/>
      <c r="E511" s="6"/>
      <c r="F511" s="6"/>
      <c r="G511" s="6"/>
      <c r="H511" s="6"/>
      <c r="I511" s="14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16"/>
      <c r="B512" s="17"/>
      <c r="C512" s="6"/>
      <c r="D512" s="6"/>
      <c r="E512" s="6"/>
      <c r="F512" s="6"/>
      <c r="G512" s="6"/>
      <c r="H512" s="6"/>
      <c r="I512" s="14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16"/>
      <c r="B513" s="17"/>
      <c r="C513" s="6"/>
      <c r="D513" s="6"/>
      <c r="E513" s="6"/>
      <c r="F513" s="6"/>
      <c r="G513" s="6"/>
      <c r="H513" s="6"/>
      <c r="I513" s="14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16"/>
      <c r="B514" s="17"/>
      <c r="C514" s="6"/>
      <c r="D514" s="6"/>
      <c r="E514" s="6"/>
      <c r="F514" s="6"/>
      <c r="G514" s="6"/>
      <c r="H514" s="6"/>
      <c r="I514" s="14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16"/>
      <c r="B515" s="17"/>
      <c r="C515" s="6"/>
      <c r="D515" s="6"/>
      <c r="E515" s="6"/>
      <c r="F515" s="6"/>
      <c r="G515" s="6"/>
      <c r="H515" s="6"/>
      <c r="I515" s="14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16"/>
      <c r="B516" s="17"/>
      <c r="C516" s="6"/>
      <c r="D516" s="6"/>
      <c r="E516" s="6"/>
      <c r="F516" s="6"/>
      <c r="G516" s="6"/>
      <c r="H516" s="6"/>
      <c r="I516" s="14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16"/>
      <c r="B517" s="17"/>
      <c r="C517" s="6"/>
      <c r="D517" s="6"/>
      <c r="E517" s="6"/>
      <c r="F517" s="6"/>
      <c r="G517" s="6"/>
      <c r="H517" s="6"/>
      <c r="I517" s="14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16"/>
      <c r="B518" s="17"/>
      <c r="C518" s="6"/>
      <c r="D518" s="6"/>
      <c r="E518" s="6"/>
      <c r="F518" s="6"/>
      <c r="G518" s="6"/>
      <c r="H518" s="6"/>
      <c r="I518" s="14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16"/>
      <c r="B519" s="17"/>
      <c r="C519" s="6"/>
      <c r="D519" s="6"/>
      <c r="E519" s="6"/>
      <c r="F519" s="6"/>
      <c r="G519" s="6"/>
      <c r="H519" s="6"/>
      <c r="I519" s="14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16"/>
      <c r="B520" s="17"/>
      <c r="C520" s="6"/>
      <c r="D520" s="6"/>
      <c r="E520" s="6"/>
      <c r="F520" s="6"/>
      <c r="G520" s="6"/>
      <c r="H520" s="6"/>
      <c r="I520" s="14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16"/>
      <c r="B521" s="17"/>
      <c r="C521" s="6"/>
      <c r="D521" s="6"/>
      <c r="E521" s="6"/>
      <c r="F521" s="6"/>
      <c r="G521" s="6"/>
      <c r="H521" s="6"/>
      <c r="I521" s="14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16"/>
      <c r="B522" s="17"/>
      <c r="C522" s="6"/>
      <c r="D522" s="6"/>
      <c r="E522" s="6"/>
      <c r="F522" s="6"/>
      <c r="G522" s="6"/>
      <c r="H522" s="6"/>
      <c r="I522" s="14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16"/>
      <c r="B523" s="17"/>
      <c r="C523" s="6"/>
      <c r="D523" s="6"/>
      <c r="E523" s="6"/>
      <c r="F523" s="6"/>
      <c r="G523" s="6"/>
      <c r="H523" s="6"/>
      <c r="I523" s="14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16"/>
      <c r="B524" s="17"/>
      <c r="C524" s="6"/>
      <c r="D524" s="6"/>
      <c r="E524" s="6"/>
      <c r="F524" s="6"/>
      <c r="G524" s="6"/>
      <c r="H524" s="6"/>
      <c r="I524" s="14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16"/>
      <c r="B525" s="17"/>
      <c r="C525" s="6"/>
      <c r="D525" s="6"/>
      <c r="E525" s="6"/>
      <c r="F525" s="6"/>
      <c r="G525" s="6"/>
      <c r="H525" s="6"/>
      <c r="I525" s="14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16"/>
      <c r="B526" s="17"/>
      <c r="C526" s="6"/>
      <c r="D526" s="6"/>
      <c r="E526" s="6"/>
      <c r="F526" s="6"/>
      <c r="G526" s="6"/>
      <c r="H526" s="6"/>
      <c r="I526" s="14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16"/>
      <c r="B527" s="17"/>
      <c r="C527" s="6"/>
      <c r="D527" s="6"/>
      <c r="E527" s="6"/>
      <c r="F527" s="6"/>
      <c r="G527" s="6"/>
      <c r="H527" s="6"/>
      <c r="I527" s="14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16"/>
      <c r="B528" s="17"/>
      <c r="C528" s="6"/>
      <c r="D528" s="6"/>
      <c r="E528" s="6"/>
      <c r="F528" s="6"/>
      <c r="G528" s="6"/>
      <c r="H528" s="6"/>
      <c r="I528" s="14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16"/>
      <c r="B529" s="17"/>
      <c r="C529" s="6"/>
      <c r="D529" s="6"/>
      <c r="E529" s="6"/>
      <c r="F529" s="6"/>
      <c r="G529" s="6"/>
      <c r="H529" s="6"/>
      <c r="I529" s="14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16"/>
      <c r="B530" s="17"/>
      <c r="C530" s="6"/>
      <c r="D530" s="6"/>
      <c r="E530" s="6"/>
      <c r="F530" s="6"/>
      <c r="G530" s="6"/>
      <c r="H530" s="6"/>
      <c r="I530" s="14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16"/>
      <c r="B531" s="17"/>
      <c r="C531" s="6"/>
      <c r="D531" s="6"/>
      <c r="E531" s="6"/>
      <c r="F531" s="6"/>
      <c r="G531" s="6"/>
      <c r="H531" s="6"/>
      <c r="I531" s="14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16"/>
      <c r="B532" s="17"/>
      <c r="C532" s="6"/>
      <c r="D532" s="6"/>
      <c r="E532" s="6"/>
      <c r="F532" s="6"/>
      <c r="G532" s="6"/>
      <c r="H532" s="6"/>
      <c r="I532" s="14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16"/>
      <c r="B533" s="17"/>
      <c r="C533" s="6"/>
      <c r="D533" s="6"/>
      <c r="E533" s="6"/>
      <c r="F533" s="6"/>
      <c r="G533" s="6"/>
      <c r="H533" s="6"/>
      <c r="I533" s="14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16"/>
      <c r="B534" s="17"/>
      <c r="C534" s="6"/>
      <c r="D534" s="6"/>
      <c r="E534" s="6"/>
      <c r="F534" s="6"/>
      <c r="G534" s="6"/>
      <c r="H534" s="6"/>
      <c r="I534" s="14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16"/>
      <c r="B535" s="17"/>
      <c r="C535" s="6"/>
      <c r="D535" s="6"/>
      <c r="E535" s="6"/>
      <c r="F535" s="6"/>
      <c r="G535" s="6"/>
      <c r="H535" s="6"/>
      <c r="I535" s="14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16"/>
      <c r="B536" s="17"/>
      <c r="C536" s="6"/>
      <c r="D536" s="6"/>
      <c r="E536" s="6"/>
      <c r="F536" s="6"/>
      <c r="G536" s="6"/>
      <c r="H536" s="6"/>
      <c r="I536" s="14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16"/>
      <c r="B537" s="17"/>
      <c r="C537" s="6"/>
      <c r="D537" s="6"/>
      <c r="E537" s="6"/>
      <c r="F537" s="6"/>
      <c r="G537" s="6"/>
      <c r="H537" s="6"/>
      <c r="I537" s="14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16"/>
      <c r="B538" s="17"/>
      <c r="C538" s="6"/>
      <c r="D538" s="6"/>
      <c r="E538" s="6"/>
      <c r="F538" s="6"/>
      <c r="G538" s="6"/>
      <c r="H538" s="6"/>
      <c r="I538" s="14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16"/>
      <c r="B539" s="17"/>
      <c r="C539" s="6"/>
      <c r="D539" s="6"/>
      <c r="E539" s="6"/>
      <c r="F539" s="6"/>
      <c r="G539" s="6"/>
      <c r="H539" s="6"/>
      <c r="I539" s="14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16"/>
      <c r="B540" s="17"/>
      <c r="C540" s="6"/>
      <c r="D540" s="6"/>
      <c r="E540" s="6"/>
      <c r="F540" s="6"/>
      <c r="G540" s="6"/>
      <c r="H540" s="6"/>
      <c r="I540" s="14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16"/>
      <c r="B541" s="17"/>
      <c r="C541" s="6"/>
      <c r="D541" s="6"/>
      <c r="E541" s="6"/>
      <c r="F541" s="6"/>
      <c r="G541" s="6"/>
      <c r="H541" s="6"/>
      <c r="I541" s="14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16"/>
      <c r="B542" s="17"/>
      <c r="C542" s="6"/>
      <c r="D542" s="6"/>
      <c r="E542" s="6"/>
      <c r="F542" s="6"/>
      <c r="G542" s="6"/>
      <c r="H542" s="6"/>
      <c r="I542" s="14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16"/>
      <c r="B543" s="17"/>
      <c r="C543" s="6"/>
      <c r="D543" s="6"/>
      <c r="E543" s="6"/>
      <c r="F543" s="6"/>
      <c r="G543" s="6"/>
      <c r="H543" s="6"/>
      <c r="I543" s="14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16"/>
      <c r="B544" s="17"/>
      <c r="C544" s="6"/>
      <c r="D544" s="6"/>
      <c r="E544" s="6"/>
      <c r="F544" s="6"/>
      <c r="G544" s="6"/>
      <c r="H544" s="6"/>
      <c r="I544" s="14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16"/>
      <c r="B545" s="17"/>
      <c r="C545" s="6"/>
      <c r="D545" s="6"/>
      <c r="E545" s="6"/>
      <c r="F545" s="6"/>
      <c r="G545" s="6"/>
      <c r="H545" s="6"/>
      <c r="I545" s="14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16"/>
      <c r="B546" s="17"/>
      <c r="C546" s="6"/>
      <c r="D546" s="6"/>
      <c r="E546" s="6"/>
      <c r="F546" s="6"/>
      <c r="G546" s="6"/>
      <c r="H546" s="6"/>
      <c r="I546" s="14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16"/>
      <c r="B547" s="17"/>
      <c r="C547" s="6"/>
      <c r="D547" s="6"/>
      <c r="E547" s="6"/>
      <c r="F547" s="6"/>
      <c r="G547" s="6"/>
      <c r="H547" s="6"/>
      <c r="I547" s="14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16"/>
      <c r="B548" s="17"/>
      <c r="C548" s="6"/>
      <c r="D548" s="6"/>
      <c r="E548" s="6"/>
      <c r="F548" s="6"/>
      <c r="G548" s="6"/>
      <c r="H548" s="6"/>
      <c r="I548" s="14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16"/>
      <c r="B549" s="17"/>
      <c r="C549" s="6"/>
      <c r="D549" s="6"/>
      <c r="E549" s="6"/>
      <c r="F549" s="6"/>
      <c r="G549" s="6"/>
      <c r="H549" s="6"/>
      <c r="I549" s="14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16"/>
      <c r="B550" s="17"/>
      <c r="C550" s="6"/>
      <c r="D550" s="6"/>
      <c r="E550" s="6"/>
      <c r="F550" s="6"/>
      <c r="G550" s="6"/>
      <c r="H550" s="6"/>
      <c r="I550" s="14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16"/>
      <c r="B551" s="17"/>
      <c r="C551" s="6"/>
      <c r="D551" s="6"/>
      <c r="E551" s="6"/>
      <c r="F551" s="6"/>
      <c r="G551" s="6"/>
      <c r="H551" s="6"/>
      <c r="I551" s="14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16"/>
      <c r="B552" s="17"/>
      <c r="C552" s="6"/>
      <c r="D552" s="6"/>
      <c r="E552" s="6"/>
      <c r="F552" s="6"/>
      <c r="G552" s="6"/>
      <c r="H552" s="6"/>
      <c r="I552" s="14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16"/>
      <c r="B553" s="17"/>
      <c r="C553" s="6"/>
      <c r="D553" s="6"/>
      <c r="E553" s="6"/>
      <c r="F553" s="6"/>
      <c r="G553" s="6"/>
      <c r="H553" s="6"/>
      <c r="I553" s="14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16"/>
      <c r="B554" s="17"/>
      <c r="C554" s="6"/>
      <c r="D554" s="6"/>
      <c r="E554" s="6"/>
      <c r="F554" s="6"/>
      <c r="G554" s="6"/>
      <c r="H554" s="6"/>
      <c r="I554" s="14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16"/>
      <c r="B555" s="17"/>
      <c r="C555" s="6"/>
      <c r="D555" s="6"/>
      <c r="E555" s="6"/>
      <c r="F555" s="6"/>
      <c r="G555" s="6"/>
      <c r="H555" s="6"/>
      <c r="I555" s="14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16"/>
      <c r="B556" s="17"/>
      <c r="C556" s="6"/>
      <c r="D556" s="6"/>
      <c r="E556" s="6"/>
      <c r="F556" s="6"/>
      <c r="G556" s="6"/>
      <c r="H556" s="6"/>
      <c r="I556" s="14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16"/>
      <c r="B557" s="17"/>
      <c r="C557" s="6"/>
      <c r="D557" s="6"/>
      <c r="E557" s="6"/>
      <c r="F557" s="6"/>
      <c r="G557" s="6"/>
      <c r="H557" s="6"/>
      <c r="I557" s="14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16"/>
      <c r="B558" s="17"/>
      <c r="C558" s="6"/>
      <c r="D558" s="6"/>
      <c r="E558" s="6"/>
      <c r="F558" s="6"/>
      <c r="G558" s="6"/>
      <c r="H558" s="6"/>
      <c r="I558" s="14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16"/>
      <c r="B559" s="17"/>
      <c r="C559" s="6"/>
      <c r="D559" s="6"/>
      <c r="E559" s="6"/>
      <c r="F559" s="6"/>
      <c r="G559" s="6"/>
      <c r="H559" s="6"/>
      <c r="I559" s="14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16"/>
      <c r="B560" s="17"/>
      <c r="C560" s="6"/>
      <c r="D560" s="6"/>
      <c r="E560" s="6"/>
      <c r="F560" s="6"/>
      <c r="G560" s="6"/>
      <c r="H560" s="6"/>
      <c r="I560" s="14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16"/>
      <c r="B561" s="17"/>
      <c r="C561" s="6"/>
      <c r="D561" s="6"/>
      <c r="E561" s="6"/>
      <c r="F561" s="6"/>
      <c r="G561" s="6"/>
      <c r="H561" s="6"/>
      <c r="I561" s="14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16"/>
      <c r="B562" s="17"/>
      <c r="C562" s="6"/>
      <c r="D562" s="6"/>
      <c r="E562" s="6"/>
      <c r="F562" s="6"/>
      <c r="G562" s="6"/>
      <c r="H562" s="6"/>
      <c r="I562" s="14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16"/>
      <c r="B563" s="17"/>
      <c r="C563" s="6"/>
      <c r="D563" s="6"/>
      <c r="E563" s="6"/>
      <c r="F563" s="6"/>
      <c r="G563" s="6"/>
      <c r="H563" s="6"/>
      <c r="I563" s="14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16"/>
      <c r="B564" s="17"/>
      <c r="C564" s="6"/>
      <c r="D564" s="6"/>
      <c r="E564" s="6"/>
      <c r="F564" s="6"/>
      <c r="G564" s="6"/>
      <c r="H564" s="6"/>
      <c r="I564" s="14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16"/>
      <c r="B565" s="17"/>
      <c r="C565" s="6"/>
      <c r="D565" s="6"/>
      <c r="E565" s="6"/>
      <c r="F565" s="6"/>
      <c r="G565" s="6"/>
      <c r="H565" s="6"/>
      <c r="I565" s="14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16"/>
      <c r="B566" s="17"/>
      <c r="C566" s="6"/>
      <c r="D566" s="6"/>
      <c r="E566" s="6"/>
      <c r="F566" s="6"/>
      <c r="G566" s="6"/>
      <c r="H566" s="6"/>
      <c r="I566" s="14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16"/>
      <c r="B567" s="17"/>
      <c r="C567" s="6"/>
      <c r="D567" s="6"/>
      <c r="E567" s="6"/>
      <c r="F567" s="6"/>
      <c r="G567" s="6"/>
      <c r="H567" s="6"/>
      <c r="I567" s="14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16"/>
      <c r="B568" s="17"/>
      <c r="C568" s="6"/>
      <c r="D568" s="6"/>
      <c r="E568" s="6"/>
      <c r="F568" s="6"/>
      <c r="G568" s="6"/>
      <c r="H568" s="6"/>
      <c r="I568" s="14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16"/>
      <c r="B569" s="17"/>
      <c r="C569" s="6"/>
      <c r="D569" s="6"/>
      <c r="E569" s="6"/>
      <c r="F569" s="6"/>
      <c r="G569" s="6"/>
      <c r="H569" s="6"/>
      <c r="I569" s="14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16"/>
      <c r="B570" s="17"/>
      <c r="C570" s="6"/>
      <c r="D570" s="6"/>
      <c r="E570" s="6"/>
      <c r="F570" s="6"/>
      <c r="G570" s="6"/>
      <c r="H570" s="6"/>
      <c r="I570" s="14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16"/>
      <c r="B571" s="17"/>
      <c r="C571" s="6"/>
      <c r="D571" s="6"/>
      <c r="E571" s="6"/>
      <c r="F571" s="6"/>
      <c r="G571" s="6"/>
      <c r="H571" s="6"/>
      <c r="I571" s="14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16"/>
      <c r="B572" s="17"/>
      <c r="C572" s="6"/>
      <c r="D572" s="6"/>
      <c r="E572" s="6"/>
      <c r="F572" s="6"/>
      <c r="G572" s="6"/>
      <c r="H572" s="6"/>
      <c r="I572" s="14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16"/>
      <c r="B573" s="17"/>
      <c r="C573" s="6"/>
      <c r="D573" s="6"/>
      <c r="E573" s="6"/>
      <c r="F573" s="6"/>
      <c r="G573" s="6"/>
      <c r="H573" s="6"/>
      <c r="I573" s="14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16"/>
      <c r="B574" s="17"/>
      <c r="C574" s="6"/>
      <c r="D574" s="6"/>
      <c r="E574" s="6"/>
      <c r="F574" s="6"/>
      <c r="G574" s="6"/>
      <c r="H574" s="6"/>
      <c r="I574" s="14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16"/>
      <c r="B575" s="17"/>
      <c r="C575" s="6"/>
      <c r="D575" s="6"/>
      <c r="E575" s="6"/>
      <c r="F575" s="6"/>
      <c r="G575" s="6"/>
      <c r="H575" s="6"/>
      <c r="I575" s="14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16"/>
      <c r="B576" s="17"/>
      <c r="C576" s="6"/>
      <c r="D576" s="6"/>
      <c r="E576" s="6"/>
      <c r="F576" s="6"/>
      <c r="G576" s="6"/>
      <c r="H576" s="6"/>
      <c r="I576" s="14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16"/>
      <c r="B577" s="17"/>
      <c r="C577" s="6"/>
      <c r="D577" s="6"/>
      <c r="E577" s="6"/>
      <c r="F577" s="6"/>
      <c r="G577" s="6"/>
      <c r="H577" s="6"/>
      <c r="I577" s="14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16"/>
      <c r="B578" s="17"/>
      <c r="C578" s="6"/>
      <c r="D578" s="6"/>
      <c r="E578" s="6"/>
      <c r="F578" s="6"/>
      <c r="G578" s="6"/>
      <c r="H578" s="6"/>
      <c r="I578" s="14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16"/>
      <c r="B579" s="17"/>
      <c r="C579" s="6"/>
      <c r="D579" s="6"/>
      <c r="E579" s="6"/>
      <c r="F579" s="6"/>
      <c r="G579" s="6"/>
      <c r="H579" s="6"/>
      <c r="I579" s="14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16"/>
      <c r="B580" s="17"/>
      <c r="C580" s="6"/>
      <c r="D580" s="6"/>
      <c r="E580" s="6"/>
      <c r="F580" s="6"/>
      <c r="G580" s="6"/>
      <c r="H580" s="6"/>
      <c r="I580" s="14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16"/>
      <c r="B581" s="17"/>
      <c r="C581" s="6"/>
      <c r="D581" s="6"/>
      <c r="E581" s="6"/>
      <c r="F581" s="6"/>
      <c r="G581" s="6"/>
      <c r="H581" s="6"/>
      <c r="I581" s="14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16"/>
      <c r="B582" s="17"/>
      <c r="C582" s="6"/>
      <c r="D582" s="6"/>
      <c r="E582" s="6"/>
      <c r="F582" s="6"/>
      <c r="G582" s="6"/>
      <c r="H582" s="6"/>
      <c r="I582" s="14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16"/>
      <c r="B583" s="17"/>
      <c r="C583" s="6"/>
      <c r="D583" s="6"/>
      <c r="E583" s="6"/>
      <c r="F583" s="6"/>
      <c r="G583" s="6"/>
      <c r="H583" s="6"/>
      <c r="I583" s="14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16"/>
      <c r="B584" s="17"/>
      <c r="C584" s="6"/>
      <c r="D584" s="6"/>
      <c r="E584" s="6"/>
      <c r="F584" s="6"/>
      <c r="G584" s="6"/>
      <c r="H584" s="6"/>
      <c r="I584" s="14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16"/>
      <c r="B585" s="17"/>
      <c r="C585" s="6"/>
      <c r="D585" s="6"/>
      <c r="E585" s="6"/>
      <c r="F585" s="6"/>
      <c r="G585" s="6"/>
      <c r="H585" s="6"/>
      <c r="I585" s="14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16"/>
      <c r="B586" s="17"/>
      <c r="C586" s="6"/>
      <c r="D586" s="6"/>
      <c r="E586" s="6"/>
      <c r="F586" s="6"/>
      <c r="G586" s="6"/>
      <c r="H586" s="6"/>
      <c r="I586" s="14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16"/>
      <c r="B587" s="17"/>
      <c r="C587" s="6"/>
      <c r="D587" s="6"/>
      <c r="E587" s="6"/>
      <c r="F587" s="6"/>
      <c r="G587" s="6"/>
      <c r="H587" s="6"/>
      <c r="I587" s="14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16"/>
      <c r="B588" s="17"/>
      <c r="C588" s="6"/>
      <c r="D588" s="6"/>
      <c r="E588" s="6"/>
      <c r="F588" s="6"/>
      <c r="G588" s="6"/>
      <c r="H588" s="6"/>
      <c r="I588" s="14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16"/>
      <c r="B589" s="17"/>
      <c r="C589" s="6"/>
      <c r="D589" s="6"/>
      <c r="E589" s="6"/>
      <c r="F589" s="6"/>
      <c r="G589" s="6"/>
      <c r="H589" s="6"/>
      <c r="I589" s="14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16"/>
      <c r="B590" s="17"/>
      <c r="C590" s="6"/>
      <c r="D590" s="6"/>
      <c r="E590" s="6"/>
      <c r="F590" s="6"/>
      <c r="G590" s="6"/>
      <c r="H590" s="6"/>
      <c r="I590" s="14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16"/>
      <c r="B591" s="17"/>
      <c r="C591" s="6"/>
      <c r="D591" s="6"/>
      <c r="E591" s="6"/>
      <c r="F591" s="6"/>
      <c r="G591" s="6"/>
      <c r="H591" s="6"/>
      <c r="I591" s="14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16"/>
      <c r="B592" s="17"/>
      <c r="C592" s="6"/>
      <c r="D592" s="6"/>
      <c r="E592" s="6"/>
      <c r="F592" s="6"/>
      <c r="G592" s="6"/>
      <c r="H592" s="6"/>
      <c r="I592" s="14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16"/>
      <c r="B593" s="17"/>
      <c r="C593" s="6"/>
      <c r="D593" s="6"/>
      <c r="E593" s="6"/>
      <c r="F593" s="6"/>
      <c r="G593" s="6"/>
      <c r="H593" s="6"/>
      <c r="I593" s="14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16"/>
      <c r="B594" s="17"/>
      <c r="C594" s="6"/>
      <c r="D594" s="6"/>
      <c r="E594" s="6"/>
      <c r="F594" s="6"/>
      <c r="G594" s="6"/>
      <c r="H594" s="6"/>
      <c r="I594" s="14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16"/>
      <c r="B595" s="17"/>
      <c r="C595" s="6"/>
      <c r="D595" s="6"/>
      <c r="E595" s="6"/>
      <c r="F595" s="6"/>
      <c r="G595" s="6"/>
      <c r="H595" s="6"/>
      <c r="I595" s="14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16"/>
      <c r="B596" s="17"/>
      <c r="C596" s="6"/>
      <c r="D596" s="6"/>
      <c r="E596" s="6"/>
      <c r="F596" s="6"/>
      <c r="G596" s="6"/>
      <c r="H596" s="6"/>
      <c r="I596" s="14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16"/>
      <c r="B597" s="17"/>
      <c r="C597" s="6"/>
      <c r="D597" s="6"/>
      <c r="E597" s="6"/>
      <c r="F597" s="6"/>
      <c r="G597" s="6"/>
      <c r="H597" s="6"/>
      <c r="I597" s="14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16"/>
      <c r="B598" s="17"/>
      <c r="C598" s="6"/>
      <c r="D598" s="6"/>
      <c r="E598" s="6"/>
      <c r="F598" s="6"/>
      <c r="G598" s="6"/>
      <c r="H598" s="6"/>
      <c r="I598" s="14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16"/>
      <c r="B599" s="17"/>
      <c r="C599" s="6"/>
      <c r="D599" s="6"/>
      <c r="E599" s="6"/>
      <c r="F599" s="6"/>
      <c r="G599" s="6"/>
      <c r="H599" s="6"/>
      <c r="I599" s="14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16"/>
      <c r="B600" s="17"/>
      <c r="C600" s="6"/>
      <c r="D600" s="6"/>
      <c r="E600" s="6"/>
      <c r="F600" s="6"/>
      <c r="G600" s="6"/>
      <c r="H600" s="6"/>
      <c r="I600" s="14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16"/>
      <c r="B601" s="17"/>
      <c r="C601" s="6"/>
      <c r="D601" s="6"/>
      <c r="E601" s="6"/>
      <c r="F601" s="6"/>
      <c r="G601" s="6"/>
      <c r="H601" s="6"/>
      <c r="I601" s="14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16"/>
      <c r="B602" s="17"/>
      <c r="C602" s="6"/>
      <c r="D602" s="6"/>
      <c r="E602" s="6"/>
      <c r="F602" s="6"/>
      <c r="G602" s="6"/>
      <c r="H602" s="6"/>
      <c r="I602" s="14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16"/>
      <c r="B603" s="17"/>
      <c r="C603" s="6"/>
      <c r="D603" s="6"/>
      <c r="E603" s="6"/>
      <c r="F603" s="6"/>
      <c r="G603" s="6"/>
      <c r="H603" s="6"/>
      <c r="I603" s="14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16"/>
      <c r="B604" s="17"/>
      <c r="C604" s="6"/>
      <c r="D604" s="6"/>
      <c r="E604" s="6"/>
      <c r="F604" s="6"/>
      <c r="G604" s="6"/>
      <c r="H604" s="6"/>
      <c r="I604" s="14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16"/>
      <c r="B605" s="17"/>
      <c r="C605" s="6"/>
      <c r="D605" s="6"/>
      <c r="E605" s="6"/>
      <c r="F605" s="6"/>
      <c r="G605" s="6"/>
      <c r="H605" s="6"/>
      <c r="I605" s="14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16"/>
      <c r="B606" s="17"/>
      <c r="C606" s="6"/>
      <c r="D606" s="6"/>
      <c r="E606" s="6"/>
      <c r="F606" s="6"/>
      <c r="G606" s="6"/>
      <c r="H606" s="6"/>
      <c r="I606" s="14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16"/>
      <c r="B607" s="17"/>
      <c r="C607" s="6"/>
      <c r="D607" s="6"/>
      <c r="E607" s="6"/>
      <c r="F607" s="6"/>
      <c r="G607" s="6"/>
      <c r="H607" s="6"/>
      <c r="I607" s="14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16"/>
      <c r="B608" s="17"/>
      <c r="C608" s="6"/>
      <c r="D608" s="6"/>
      <c r="E608" s="6"/>
      <c r="F608" s="6"/>
      <c r="G608" s="6"/>
      <c r="H608" s="6"/>
      <c r="I608" s="14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16"/>
      <c r="B609" s="17"/>
      <c r="C609" s="6"/>
      <c r="D609" s="6"/>
      <c r="E609" s="6"/>
      <c r="F609" s="6"/>
      <c r="G609" s="6"/>
      <c r="H609" s="6"/>
      <c r="I609" s="14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16"/>
      <c r="B610" s="17"/>
      <c r="C610" s="6"/>
      <c r="D610" s="6"/>
      <c r="E610" s="6"/>
      <c r="F610" s="6"/>
      <c r="G610" s="6"/>
      <c r="H610" s="6"/>
      <c r="I610" s="14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16"/>
      <c r="B611" s="17"/>
      <c r="C611" s="6"/>
      <c r="D611" s="6"/>
      <c r="E611" s="6"/>
      <c r="F611" s="6"/>
      <c r="G611" s="6"/>
      <c r="H611" s="6"/>
      <c r="I611" s="14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16"/>
      <c r="B612" s="17"/>
      <c r="C612" s="6"/>
      <c r="D612" s="6"/>
      <c r="E612" s="6"/>
      <c r="F612" s="6"/>
      <c r="G612" s="6"/>
      <c r="H612" s="6"/>
      <c r="I612" s="14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16"/>
      <c r="B613" s="17"/>
      <c r="C613" s="6"/>
      <c r="D613" s="6"/>
      <c r="E613" s="6"/>
      <c r="F613" s="6"/>
      <c r="G613" s="6"/>
      <c r="H613" s="6"/>
      <c r="I613" s="14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16"/>
      <c r="B614" s="17"/>
      <c r="C614" s="6"/>
      <c r="D614" s="6"/>
      <c r="E614" s="6"/>
      <c r="F614" s="6"/>
      <c r="G614" s="6"/>
      <c r="H614" s="6"/>
      <c r="I614" s="14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16"/>
      <c r="B615" s="17"/>
      <c r="C615" s="6"/>
      <c r="D615" s="6"/>
      <c r="E615" s="6"/>
      <c r="F615" s="6"/>
      <c r="G615" s="6"/>
      <c r="H615" s="6"/>
      <c r="I615" s="14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16"/>
      <c r="B616" s="17"/>
      <c r="C616" s="6"/>
      <c r="D616" s="6"/>
      <c r="E616" s="6"/>
      <c r="F616" s="6"/>
      <c r="G616" s="6"/>
      <c r="H616" s="6"/>
      <c r="I616" s="14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16"/>
      <c r="B617" s="17"/>
      <c r="C617" s="6"/>
      <c r="D617" s="6"/>
      <c r="E617" s="6"/>
      <c r="F617" s="6"/>
      <c r="G617" s="6"/>
      <c r="H617" s="6"/>
      <c r="I617" s="14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16"/>
      <c r="B618" s="17"/>
      <c r="C618" s="6"/>
      <c r="D618" s="6"/>
      <c r="E618" s="6"/>
      <c r="F618" s="6"/>
      <c r="G618" s="6"/>
      <c r="H618" s="6"/>
      <c r="I618" s="14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16"/>
      <c r="B619" s="17"/>
      <c r="C619" s="6"/>
      <c r="D619" s="6"/>
      <c r="E619" s="6"/>
      <c r="F619" s="6"/>
      <c r="G619" s="6"/>
      <c r="H619" s="6"/>
      <c r="I619" s="14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16"/>
      <c r="B620" s="17"/>
      <c r="C620" s="6"/>
      <c r="D620" s="6"/>
      <c r="E620" s="6"/>
      <c r="F620" s="6"/>
      <c r="G620" s="6"/>
      <c r="H620" s="6"/>
      <c r="I620" s="14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16"/>
      <c r="B621" s="17"/>
      <c r="C621" s="6"/>
      <c r="D621" s="6"/>
      <c r="E621" s="6"/>
      <c r="F621" s="6"/>
      <c r="G621" s="6"/>
      <c r="H621" s="6"/>
      <c r="I621" s="14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16"/>
      <c r="B622" s="17"/>
      <c r="C622" s="6"/>
      <c r="D622" s="6"/>
      <c r="E622" s="6"/>
      <c r="F622" s="6"/>
      <c r="G622" s="6"/>
      <c r="H622" s="6"/>
      <c r="I622" s="14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16"/>
      <c r="B623" s="17"/>
      <c r="C623" s="6"/>
      <c r="D623" s="6"/>
      <c r="E623" s="6"/>
      <c r="F623" s="6"/>
      <c r="G623" s="6"/>
      <c r="H623" s="6"/>
      <c r="I623" s="14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16"/>
      <c r="B624" s="17"/>
      <c r="C624" s="6"/>
      <c r="D624" s="6"/>
      <c r="E624" s="6"/>
      <c r="F624" s="6"/>
      <c r="G624" s="6"/>
      <c r="H624" s="6"/>
      <c r="I624" s="14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16"/>
      <c r="B625" s="17"/>
      <c r="C625" s="6"/>
      <c r="D625" s="6"/>
      <c r="E625" s="6"/>
      <c r="F625" s="6"/>
      <c r="G625" s="6"/>
      <c r="H625" s="6"/>
      <c r="I625" s="14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16"/>
      <c r="B626" s="17"/>
      <c r="C626" s="6"/>
      <c r="D626" s="6"/>
      <c r="E626" s="6"/>
      <c r="F626" s="6"/>
      <c r="G626" s="6"/>
      <c r="H626" s="6"/>
      <c r="I626" s="14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16"/>
      <c r="B627" s="17"/>
      <c r="C627" s="6"/>
      <c r="D627" s="6"/>
      <c r="E627" s="6"/>
      <c r="F627" s="6"/>
      <c r="G627" s="6"/>
      <c r="H627" s="6"/>
      <c r="I627" s="14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16"/>
      <c r="B628" s="17"/>
      <c r="C628" s="6"/>
      <c r="D628" s="6"/>
      <c r="E628" s="6"/>
      <c r="F628" s="6"/>
      <c r="G628" s="6"/>
      <c r="H628" s="6"/>
      <c r="I628" s="14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16"/>
      <c r="B629" s="17"/>
      <c r="C629" s="6"/>
      <c r="D629" s="6"/>
      <c r="E629" s="6"/>
      <c r="F629" s="6"/>
      <c r="G629" s="6"/>
      <c r="H629" s="6"/>
      <c r="I629" s="14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16"/>
      <c r="B630" s="17"/>
      <c r="C630" s="6"/>
      <c r="D630" s="6"/>
      <c r="E630" s="6"/>
      <c r="F630" s="6"/>
      <c r="G630" s="6"/>
      <c r="H630" s="6"/>
      <c r="I630" s="14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16"/>
      <c r="B631" s="17"/>
      <c r="C631" s="6"/>
      <c r="D631" s="6"/>
      <c r="E631" s="6"/>
      <c r="F631" s="6"/>
      <c r="G631" s="6"/>
      <c r="H631" s="6"/>
      <c r="I631" s="14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16"/>
      <c r="B632" s="17"/>
      <c r="C632" s="6"/>
      <c r="D632" s="6"/>
      <c r="E632" s="6"/>
      <c r="F632" s="6"/>
      <c r="G632" s="6"/>
      <c r="H632" s="6"/>
      <c r="I632" s="14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16"/>
      <c r="B633" s="17"/>
      <c r="C633" s="6"/>
      <c r="D633" s="6"/>
      <c r="E633" s="6"/>
      <c r="F633" s="6"/>
      <c r="G633" s="6"/>
      <c r="H633" s="6"/>
      <c r="I633" s="14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16"/>
      <c r="B634" s="17"/>
      <c r="C634" s="6"/>
      <c r="D634" s="6"/>
      <c r="E634" s="6"/>
      <c r="F634" s="6"/>
      <c r="G634" s="6"/>
      <c r="H634" s="6"/>
      <c r="I634" s="14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16"/>
      <c r="B635" s="17"/>
      <c r="C635" s="6"/>
      <c r="D635" s="6"/>
      <c r="E635" s="6"/>
      <c r="F635" s="6"/>
      <c r="G635" s="6"/>
      <c r="H635" s="6"/>
      <c r="I635" s="14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16"/>
      <c r="B636" s="17"/>
      <c r="C636" s="6"/>
      <c r="D636" s="6"/>
      <c r="E636" s="6"/>
      <c r="F636" s="6"/>
      <c r="G636" s="6"/>
      <c r="H636" s="6"/>
      <c r="I636" s="14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16"/>
      <c r="B637" s="17"/>
      <c r="C637" s="6"/>
      <c r="D637" s="6"/>
      <c r="E637" s="6"/>
      <c r="F637" s="6"/>
      <c r="G637" s="6"/>
      <c r="H637" s="6"/>
      <c r="I637" s="14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16"/>
      <c r="B638" s="17"/>
      <c r="C638" s="6"/>
      <c r="D638" s="6"/>
      <c r="E638" s="6"/>
      <c r="F638" s="6"/>
      <c r="G638" s="6"/>
      <c r="H638" s="6"/>
      <c r="I638" s="14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16"/>
      <c r="B639" s="17"/>
      <c r="C639" s="6"/>
      <c r="D639" s="6"/>
      <c r="E639" s="6"/>
      <c r="F639" s="6"/>
      <c r="G639" s="6"/>
      <c r="H639" s="6"/>
      <c r="I639" s="14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16"/>
      <c r="B640" s="17"/>
      <c r="C640" s="6"/>
      <c r="D640" s="6"/>
      <c r="E640" s="6"/>
      <c r="F640" s="6"/>
      <c r="G640" s="6"/>
      <c r="H640" s="6"/>
      <c r="I640" s="14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16"/>
      <c r="B641" s="17"/>
      <c r="C641" s="6"/>
      <c r="D641" s="6"/>
      <c r="E641" s="6"/>
      <c r="F641" s="6"/>
      <c r="G641" s="6"/>
      <c r="H641" s="6"/>
      <c r="I641" s="14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16"/>
      <c r="B642" s="17"/>
      <c r="C642" s="6"/>
      <c r="D642" s="6"/>
      <c r="E642" s="6"/>
      <c r="F642" s="6"/>
      <c r="G642" s="6"/>
      <c r="H642" s="6"/>
      <c r="I642" s="14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16"/>
      <c r="B643" s="17"/>
      <c r="C643" s="6"/>
      <c r="D643" s="6"/>
      <c r="E643" s="6"/>
      <c r="F643" s="6"/>
      <c r="G643" s="6"/>
      <c r="H643" s="6"/>
      <c r="I643" s="14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16"/>
      <c r="B644" s="17"/>
      <c r="C644" s="6"/>
      <c r="D644" s="6"/>
      <c r="E644" s="6"/>
      <c r="F644" s="6"/>
      <c r="G644" s="6"/>
      <c r="H644" s="6"/>
      <c r="I644" s="14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16"/>
      <c r="B645" s="17"/>
      <c r="C645" s="6"/>
      <c r="D645" s="6"/>
      <c r="E645" s="6"/>
      <c r="F645" s="6"/>
      <c r="G645" s="6"/>
      <c r="H645" s="6"/>
      <c r="I645" s="14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16"/>
      <c r="B646" s="17"/>
      <c r="C646" s="6"/>
      <c r="D646" s="6"/>
      <c r="E646" s="6"/>
      <c r="F646" s="6"/>
      <c r="G646" s="6"/>
      <c r="H646" s="6"/>
      <c r="I646" s="14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16"/>
      <c r="B647" s="17"/>
      <c r="C647" s="6"/>
      <c r="D647" s="6"/>
      <c r="E647" s="6"/>
      <c r="F647" s="6"/>
      <c r="G647" s="6"/>
      <c r="H647" s="6"/>
      <c r="I647" s="14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16"/>
      <c r="B648" s="17"/>
      <c r="C648" s="6"/>
      <c r="D648" s="6"/>
      <c r="E648" s="6"/>
      <c r="F648" s="6"/>
      <c r="G648" s="6"/>
      <c r="H648" s="6"/>
      <c r="I648" s="14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16"/>
      <c r="B649" s="17"/>
      <c r="C649" s="6"/>
      <c r="D649" s="6"/>
      <c r="E649" s="6"/>
      <c r="F649" s="6"/>
      <c r="G649" s="6"/>
      <c r="H649" s="6"/>
      <c r="I649" s="14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16"/>
      <c r="B650" s="17"/>
      <c r="C650" s="6"/>
      <c r="D650" s="6"/>
      <c r="E650" s="6"/>
      <c r="F650" s="6"/>
      <c r="G650" s="6"/>
      <c r="H650" s="6"/>
      <c r="I650" s="14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16"/>
      <c r="B651" s="17"/>
      <c r="C651" s="6"/>
      <c r="D651" s="6"/>
      <c r="E651" s="6"/>
      <c r="F651" s="6"/>
      <c r="G651" s="6"/>
      <c r="H651" s="6"/>
      <c r="I651" s="14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16"/>
      <c r="B652" s="17"/>
      <c r="C652" s="6"/>
      <c r="D652" s="6"/>
      <c r="E652" s="6"/>
      <c r="F652" s="6"/>
      <c r="G652" s="6"/>
      <c r="H652" s="6"/>
      <c r="I652" s="14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16"/>
      <c r="B653" s="17"/>
      <c r="C653" s="6"/>
      <c r="D653" s="6"/>
      <c r="E653" s="6"/>
      <c r="F653" s="6"/>
      <c r="G653" s="6"/>
      <c r="H653" s="6"/>
      <c r="I653" s="14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16"/>
      <c r="B654" s="17"/>
      <c r="C654" s="6"/>
      <c r="D654" s="6"/>
      <c r="E654" s="6"/>
      <c r="F654" s="6"/>
      <c r="G654" s="6"/>
      <c r="H654" s="6"/>
      <c r="I654" s="14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16"/>
      <c r="B655" s="17"/>
      <c r="C655" s="6"/>
      <c r="D655" s="6"/>
      <c r="E655" s="6"/>
      <c r="F655" s="6"/>
      <c r="G655" s="6"/>
      <c r="H655" s="6"/>
      <c r="I655" s="14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16"/>
      <c r="B656" s="17"/>
      <c r="C656" s="6"/>
      <c r="D656" s="6"/>
      <c r="E656" s="6"/>
      <c r="F656" s="6"/>
      <c r="G656" s="6"/>
      <c r="H656" s="6"/>
      <c r="I656" s="14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16"/>
      <c r="B657" s="17"/>
      <c r="C657" s="6"/>
      <c r="D657" s="6"/>
      <c r="E657" s="6"/>
      <c r="F657" s="6"/>
      <c r="G657" s="6"/>
      <c r="H657" s="6"/>
      <c r="I657" s="14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16"/>
      <c r="B658" s="17"/>
      <c r="C658" s="6"/>
      <c r="D658" s="6"/>
      <c r="E658" s="6"/>
      <c r="F658" s="6"/>
      <c r="G658" s="6"/>
      <c r="H658" s="6"/>
      <c r="I658" s="14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16"/>
      <c r="B659" s="17"/>
      <c r="C659" s="6"/>
      <c r="D659" s="6"/>
      <c r="E659" s="6"/>
      <c r="F659" s="6"/>
      <c r="G659" s="6"/>
      <c r="H659" s="6"/>
      <c r="I659" s="14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16"/>
      <c r="B660" s="17"/>
      <c r="C660" s="6"/>
      <c r="D660" s="6"/>
      <c r="E660" s="6"/>
      <c r="F660" s="6"/>
      <c r="G660" s="6"/>
      <c r="H660" s="6"/>
      <c r="I660" s="14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16"/>
      <c r="B661" s="17"/>
      <c r="C661" s="6"/>
      <c r="D661" s="6"/>
      <c r="E661" s="6"/>
      <c r="F661" s="6"/>
      <c r="G661" s="6"/>
      <c r="H661" s="6"/>
      <c r="I661" s="14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16"/>
      <c r="B662" s="17"/>
      <c r="C662" s="6"/>
      <c r="D662" s="6"/>
      <c r="E662" s="6"/>
      <c r="F662" s="6"/>
      <c r="G662" s="6"/>
      <c r="H662" s="6"/>
      <c r="I662" s="14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16"/>
      <c r="B663" s="17"/>
      <c r="C663" s="6"/>
      <c r="D663" s="6"/>
      <c r="E663" s="6"/>
      <c r="F663" s="6"/>
      <c r="G663" s="6"/>
      <c r="H663" s="6"/>
      <c r="I663" s="14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16"/>
      <c r="B664" s="17"/>
      <c r="C664" s="6"/>
      <c r="D664" s="6"/>
      <c r="E664" s="6"/>
      <c r="F664" s="6"/>
      <c r="G664" s="6"/>
      <c r="H664" s="6"/>
      <c r="I664" s="14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16"/>
      <c r="B665" s="17"/>
      <c r="C665" s="6"/>
      <c r="D665" s="6"/>
      <c r="E665" s="6"/>
      <c r="F665" s="6"/>
      <c r="G665" s="6"/>
      <c r="H665" s="6"/>
      <c r="I665" s="14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16"/>
      <c r="B666" s="17"/>
      <c r="C666" s="6"/>
      <c r="D666" s="6"/>
      <c r="E666" s="6"/>
      <c r="F666" s="6"/>
      <c r="G666" s="6"/>
      <c r="H666" s="6"/>
      <c r="I666" s="14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16"/>
      <c r="B667" s="17"/>
      <c r="C667" s="6"/>
      <c r="D667" s="6"/>
      <c r="E667" s="6"/>
      <c r="F667" s="6"/>
      <c r="G667" s="6"/>
      <c r="H667" s="6"/>
      <c r="I667" s="14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16"/>
      <c r="B668" s="17"/>
      <c r="C668" s="6"/>
      <c r="D668" s="6"/>
      <c r="E668" s="6"/>
      <c r="F668" s="6"/>
      <c r="G668" s="6"/>
      <c r="H668" s="6"/>
      <c r="I668" s="14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16"/>
      <c r="B669" s="17"/>
      <c r="C669" s="6"/>
      <c r="D669" s="6"/>
      <c r="E669" s="6"/>
      <c r="F669" s="6"/>
      <c r="G669" s="6"/>
      <c r="H669" s="6"/>
      <c r="I669" s="14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16"/>
      <c r="B670" s="17"/>
      <c r="C670" s="6"/>
      <c r="D670" s="6"/>
      <c r="E670" s="6"/>
      <c r="F670" s="6"/>
      <c r="G670" s="6"/>
      <c r="H670" s="6"/>
      <c r="I670" s="14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16"/>
      <c r="B671" s="17"/>
      <c r="C671" s="6"/>
      <c r="D671" s="6"/>
      <c r="E671" s="6"/>
      <c r="F671" s="6"/>
      <c r="G671" s="6"/>
      <c r="H671" s="6"/>
      <c r="I671" s="14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16"/>
      <c r="B672" s="17"/>
      <c r="C672" s="6"/>
      <c r="D672" s="6"/>
      <c r="E672" s="6"/>
      <c r="F672" s="6"/>
      <c r="G672" s="6"/>
      <c r="H672" s="6"/>
      <c r="I672" s="14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16"/>
      <c r="B673" s="17"/>
      <c r="C673" s="6"/>
      <c r="D673" s="6"/>
      <c r="E673" s="6"/>
      <c r="F673" s="6"/>
      <c r="G673" s="6"/>
      <c r="H673" s="6"/>
      <c r="I673" s="14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16"/>
      <c r="B674" s="17"/>
      <c r="C674" s="6"/>
      <c r="D674" s="6"/>
      <c r="E674" s="6"/>
      <c r="F674" s="6"/>
      <c r="G674" s="6"/>
      <c r="H674" s="6"/>
      <c r="I674" s="14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16"/>
      <c r="B675" s="17"/>
      <c r="C675" s="6"/>
      <c r="D675" s="6"/>
      <c r="E675" s="6"/>
      <c r="F675" s="6"/>
      <c r="G675" s="6"/>
      <c r="H675" s="6"/>
      <c r="I675" s="14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16"/>
      <c r="B676" s="17"/>
      <c r="C676" s="6"/>
      <c r="D676" s="6"/>
      <c r="E676" s="6"/>
      <c r="F676" s="6"/>
      <c r="G676" s="6"/>
      <c r="H676" s="6"/>
      <c r="I676" s="14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16"/>
      <c r="B677" s="17"/>
      <c r="C677" s="6"/>
      <c r="D677" s="6"/>
      <c r="E677" s="6"/>
      <c r="F677" s="6"/>
      <c r="G677" s="6"/>
      <c r="H677" s="6"/>
      <c r="I677" s="14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16"/>
      <c r="B678" s="17"/>
      <c r="C678" s="6"/>
      <c r="D678" s="6"/>
      <c r="E678" s="6"/>
      <c r="F678" s="6"/>
      <c r="G678" s="6"/>
      <c r="H678" s="6"/>
      <c r="I678" s="14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16"/>
      <c r="B679" s="17"/>
      <c r="C679" s="6"/>
      <c r="D679" s="6"/>
      <c r="E679" s="6"/>
      <c r="F679" s="6"/>
      <c r="G679" s="6"/>
      <c r="H679" s="6"/>
      <c r="I679" s="14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16"/>
      <c r="B680" s="17"/>
      <c r="C680" s="6"/>
      <c r="D680" s="6"/>
      <c r="E680" s="6"/>
      <c r="F680" s="6"/>
      <c r="G680" s="6"/>
      <c r="H680" s="6"/>
      <c r="I680" s="14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16"/>
      <c r="B681" s="17"/>
      <c r="C681" s="6"/>
      <c r="D681" s="6"/>
      <c r="E681" s="6"/>
      <c r="F681" s="6"/>
      <c r="G681" s="6"/>
      <c r="H681" s="6"/>
      <c r="I681" s="14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16"/>
      <c r="B682" s="17"/>
      <c r="C682" s="6"/>
      <c r="D682" s="6"/>
      <c r="E682" s="6"/>
      <c r="F682" s="6"/>
      <c r="G682" s="6"/>
      <c r="H682" s="6"/>
      <c r="I682" s="14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16"/>
      <c r="B683" s="17"/>
      <c r="C683" s="6"/>
      <c r="D683" s="6"/>
      <c r="E683" s="6"/>
      <c r="F683" s="6"/>
      <c r="G683" s="6"/>
      <c r="H683" s="6"/>
      <c r="I683" s="14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16"/>
      <c r="B684" s="17"/>
      <c r="C684" s="6"/>
      <c r="D684" s="6"/>
      <c r="E684" s="6"/>
      <c r="F684" s="6"/>
      <c r="G684" s="6"/>
      <c r="H684" s="6"/>
      <c r="I684" s="14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16"/>
      <c r="B685" s="17"/>
      <c r="C685" s="6"/>
      <c r="D685" s="6"/>
      <c r="E685" s="6"/>
      <c r="F685" s="6"/>
      <c r="G685" s="6"/>
      <c r="H685" s="6"/>
      <c r="I685" s="14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16"/>
      <c r="B686" s="17"/>
      <c r="C686" s="6"/>
      <c r="D686" s="6"/>
      <c r="E686" s="6"/>
      <c r="F686" s="6"/>
      <c r="G686" s="6"/>
      <c r="H686" s="6"/>
      <c r="I686" s="14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16"/>
      <c r="B687" s="17"/>
      <c r="C687" s="6"/>
      <c r="D687" s="6"/>
      <c r="E687" s="6"/>
      <c r="F687" s="6"/>
      <c r="G687" s="6"/>
      <c r="H687" s="6"/>
      <c r="I687" s="14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16"/>
      <c r="B688" s="17"/>
      <c r="C688" s="6"/>
      <c r="D688" s="6"/>
      <c r="E688" s="6"/>
      <c r="F688" s="6"/>
      <c r="G688" s="6"/>
      <c r="H688" s="6"/>
      <c r="I688" s="14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16"/>
      <c r="B689" s="17"/>
      <c r="C689" s="6"/>
      <c r="D689" s="6"/>
      <c r="E689" s="6"/>
      <c r="F689" s="6"/>
      <c r="G689" s="6"/>
      <c r="H689" s="6"/>
      <c r="I689" s="14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16"/>
      <c r="B690" s="17"/>
      <c r="C690" s="6"/>
      <c r="D690" s="6"/>
      <c r="E690" s="6"/>
      <c r="F690" s="6"/>
      <c r="G690" s="6"/>
      <c r="H690" s="6"/>
      <c r="I690" s="14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16"/>
      <c r="B691" s="17"/>
      <c r="C691" s="6"/>
      <c r="D691" s="6"/>
      <c r="E691" s="6"/>
      <c r="F691" s="6"/>
      <c r="G691" s="6"/>
      <c r="H691" s="6"/>
      <c r="I691" s="14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16"/>
      <c r="B692" s="17"/>
      <c r="C692" s="6"/>
      <c r="D692" s="6"/>
      <c r="E692" s="6"/>
      <c r="F692" s="6"/>
      <c r="G692" s="6"/>
      <c r="H692" s="6"/>
      <c r="I692" s="14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16"/>
      <c r="B693" s="17"/>
      <c r="C693" s="6"/>
      <c r="D693" s="6"/>
      <c r="E693" s="6"/>
      <c r="F693" s="6"/>
      <c r="G693" s="6"/>
      <c r="H693" s="6"/>
      <c r="I693" s="14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16"/>
      <c r="B694" s="17"/>
      <c r="C694" s="6"/>
      <c r="D694" s="6"/>
      <c r="E694" s="6"/>
      <c r="F694" s="6"/>
      <c r="G694" s="6"/>
      <c r="H694" s="6"/>
      <c r="I694" s="14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16"/>
      <c r="B695" s="17"/>
      <c r="C695" s="6"/>
      <c r="D695" s="6"/>
      <c r="E695" s="6"/>
      <c r="F695" s="6"/>
      <c r="G695" s="6"/>
      <c r="H695" s="6"/>
      <c r="I695" s="14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16"/>
      <c r="B696" s="17"/>
      <c r="C696" s="6"/>
      <c r="D696" s="6"/>
      <c r="E696" s="6"/>
      <c r="F696" s="6"/>
      <c r="G696" s="6"/>
      <c r="H696" s="6"/>
      <c r="I696" s="14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16"/>
      <c r="B697" s="17"/>
      <c r="C697" s="6"/>
      <c r="D697" s="6"/>
      <c r="E697" s="6"/>
      <c r="F697" s="6"/>
      <c r="G697" s="6"/>
      <c r="H697" s="6"/>
      <c r="I697" s="14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16"/>
      <c r="B698" s="17"/>
      <c r="C698" s="6"/>
      <c r="D698" s="6"/>
      <c r="E698" s="6"/>
      <c r="F698" s="6"/>
      <c r="G698" s="6"/>
      <c r="H698" s="6"/>
      <c r="I698" s="14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16"/>
      <c r="B699" s="17"/>
      <c r="C699" s="6"/>
      <c r="D699" s="6"/>
      <c r="E699" s="6"/>
      <c r="F699" s="6"/>
      <c r="G699" s="6"/>
      <c r="H699" s="6"/>
      <c r="I699" s="14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16"/>
      <c r="B700" s="17"/>
      <c r="C700" s="6"/>
      <c r="D700" s="6"/>
      <c r="E700" s="6"/>
      <c r="F700" s="6"/>
      <c r="G700" s="6"/>
      <c r="H700" s="6"/>
      <c r="I700" s="14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16"/>
      <c r="B701" s="17"/>
      <c r="C701" s="6"/>
      <c r="D701" s="6"/>
      <c r="E701" s="6"/>
      <c r="F701" s="6"/>
      <c r="G701" s="6"/>
      <c r="H701" s="6"/>
      <c r="I701" s="14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16"/>
      <c r="B702" s="17"/>
      <c r="C702" s="6"/>
      <c r="D702" s="6"/>
      <c r="E702" s="6"/>
      <c r="F702" s="6"/>
      <c r="G702" s="6"/>
      <c r="H702" s="6"/>
      <c r="I702" s="14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16"/>
      <c r="B703" s="17"/>
      <c r="C703" s="6"/>
      <c r="D703" s="6"/>
      <c r="E703" s="6"/>
      <c r="F703" s="6"/>
      <c r="G703" s="6"/>
      <c r="H703" s="6"/>
      <c r="I703" s="14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16"/>
      <c r="B704" s="17"/>
      <c r="C704" s="6"/>
      <c r="D704" s="6"/>
      <c r="E704" s="6"/>
      <c r="F704" s="6"/>
      <c r="G704" s="6"/>
      <c r="H704" s="6"/>
      <c r="I704" s="14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16"/>
      <c r="B705" s="17"/>
      <c r="C705" s="6"/>
      <c r="D705" s="6"/>
      <c r="E705" s="6"/>
      <c r="F705" s="6"/>
      <c r="G705" s="6"/>
      <c r="H705" s="6"/>
      <c r="I705" s="14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16"/>
      <c r="B706" s="17"/>
      <c r="C706" s="6"/>
      <c r="D706" s="6"/>
      <c r="E706" s="6"/>
      <c r="F706" s="6"/>
      <c r="G706" s="6"/>
      <c r="H706" s="6"/>
      <c r="I706" s="14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16"/>
      <c r="B707" s="17"/>
      <c r="C707" s="6"/>
      <c r="D707" s="6"/>
      <c r="E707" s="6"/>
      <c r="F707" s="6"/>
      <c r="G707" s="6"/>
      <c r="H707" s="6"/>
      <c r="I707" s="14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16"/>
      <c r="B708" s="17"/>
      <c r="C708" s="6"/>
      <c r="D708" s="6"/>
      <c r="E708" s="6"/>
      <c r="F708" s="6"/>
      <c r="G708" s="6"/>
      <c r="H708" s="6"/>
      <c r="I708" s="14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16"/>
      <c r="B709" s="17"/>
      <c r="C709" s="6"/>
      <c r="D709" s="6"/>
      <c r="E709" s="6"/>
      <c r="F709" s="6"/>
      <c r="G709" s="6"/>
      <c r="H709" s="6"/>
      <c r="I709" s="14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16"/>
      <c r="B710" s="17"/>
      <c r="C710" s="6"/>
      <c r="D710" s="6"/>
      <c r="E710" s="6"/>
      <c r="F710" s="6"/>
      <c r="G710" s="6"/>
      <c r="H710" s="6"/>
      <c r="I710" s="14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16"/>
      <c r="B711" s="17"/>
      <c r="C711" s="6"/>
      <c r="D711" s="6"/>
      <c r="E711" s="6"/>
      <c r="F711" s="6"/>
      <c r="G711" s="6"/>
      <c r="H711" s="6"/>
      <c r="I711" s="14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16"/>
      <c r="B712" s="17"/>
      <c r="C712" s="6"/>
      <c r="D712" s="6"/>
      <c r="E712" s="6"/>
      <c r="F712" s="6"/>
      <c r="G712" s="6"/>
      <c r="H712" s="6"/>
      <c r="I712" s="14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16"/>
      <c r="B713" s="17"/>
      <c r="C713" s="6"/>
      <c r="D713" s="6"/>
      <c r="E713" s="6"/>
      <c r="F713" s="6"/>
      <c r="G713" s="6"/>
      <c r="H713" s="6"/>
      <c r="I713" s="14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16"/>
      <c r="B714" s="17"/>
      <c r="C714" s="6"/>
      <c r="D714" s="6"/>
      <c r="E714" s="6"/>
      <c r="F714" s="6"/>
      <c r="G714" s="6"/>
      <c r="H714" s="6"/>
      <c r="I714" s="14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16"/>
      <c r="B715" s="17"/>
      <c r="C715" s="6"/>
      <c r="D715" s="6"/>
      <c r="E715" s="6"/>
      <c r="F715" s="6"/>
      <c r="G715" s="6"/>
      <c r="H715" s="6"/>
      <c r="I715" s="14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16"/>
      <c r="B716" s="17"/>
      <c r="C716" s="6"/>
      <c r="D716" s="6"/>
      <c r="E716" s="6"/>
      <c r="F716" s="6"/>
      <c r="G716" s="6"/>
      <c r="H716" s="6"/>
      <c r="I716" s="14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16"/>
      <c r="B717" s="17"/>
      <c r="C717" s="6"/>
      <c r="D717" s="6"/>
      <c r="E717" s="6"/>
      <c r="F717" s="6"/>
      <c r="G717" s="6"/>
      <c r="H717" s="6"/>
      <c r="I717" s="14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16"/>
      <c r="B718" s="17"/>
      <c r="C718" s="6"/>
      <c r="D718" s="6"/>
      <c r="E718" s="6"/>
      <c r="F718" s="6"/>
      <c r="G718" s="6"/>
      <c r="H718" s="6"/>
      <c r="I718" s="14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16"/>
      <c r="B719" s="17"/>
      <c r="C719" s="6"/>
      <c r="D719" s="6"/>
      <c r="E719" s="6"/>
      <c r="F719" s="6"/>
      <c r="G719" s="6"/>
      <c r="H719" s="6"/>
      <c r="I719" s="14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16"/>
      <c r="B720" s="17"/>
      <c r="C720" s="6"/>
      <c r="D720" s="6"/>
      <c r="E720" s="6"/>
      <c r="F720" s="6"/>
      <c r="G720" s="6"/>
      <c r="H720" s="6"/>
      <c r="I720" s="14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16"/>
      <c r="B721" s="17"/>
      <c r="C721" s="6"/>
      <c r="D721" s="6"/>
      <c r="E721" s="6"/>
      <c r="F721" s="6"/>
      <c r="G721" s="6"/>
      <c r="H721" s="6"/>
      <c r="I721" s="14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16"/>
      <c r="B722" s="17"/>
      <c r="C722" s="6"/>
      <c r="D722" s="6"/>
      <c r="E722" s="6"/>
      <c r="F722" s="6"/>
      <c r="G722" s="6"/>
      <c r="H722" s="6"/>
      <c r="I722" s="14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16"/>
      <c r="B723" s="17"/>
      <c r="C723" s="6"/>
      <c r="D723" s="6"/>
      <c r="E723" s="6"/>
      <c r="F723" s="6"/>
      <c r="G723" s="6"/>
      <c r="H723" s="6"/>
      <c r="I723" s="14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16"/>
      <c r="B724" s="17"/>
      <c r="C724" s="6"/>
      <c r="D724" s="6"/>
      <c r="E724" s="6"/>
      <c r="F724" s="6"/>
      <c r="G724" s="6"/>
      <c r="H724" s="6"/>
      <c r="I724" s="14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16"/>
      <c r="B725" s="17"/>
      <c r="C725" s="6"/>
      <c r="D725" s="6"/>
      <c r="E725" s="6"/>
      <c r="F725" s="6"/>
      <c r="G725" s="6"/>
      <c r="H725" s="6"/>
      <c r="I725" s="14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16"/>
      <c r="B726" s="17"/>
      <c r="C726" s="6"/>
      <c r="D726" s="6"/>
      <c r="E726" s="6"/>
      <c r="F726" s="6"/>
      <c r="G726" s="6"/>
      <c r="H726" s="6"/>
      <c r="I726" s="14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16"/>
      <c r="B727" s="17"/>
      <c r="C727" s="6"/>
      <c r="D727" s="6"/>
      <c r="E727" s="6"/>
      <c r="F727" s="6"/>
      <c r="G727" s="6"/>
      <c r="H727" s="6"/>
      <c r="I727" s="14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16"/>
      <c r="B728" s="17"/>
      <c r="C728" s="6"/>
      <c r="D728" s="6"/>
      <c r="E728" s="6"/>
      <c r="F728" s="6"/>
      <c r="G728" s="6"/>
      <c r="H728" s="6"/>
      <c r="I728" s="14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16"/>
      <c r="B729" s="17"/>
      <c r="C729" s="6"/>
      <c r="D729" s="6"/>
      <c r="E729" s="6"/>
      <c r="F729" s="6"/>
      <c r="G729" s="6"/>
      <c r="H729" s="6"/>
      <c r="I729" s="14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16"/>
      <c r="B730" s="17"/>
      <c r="C730" s="6"/>
      <c r="D730" s="6"/>
      <c r="E730" s="6"/>
      <c r="F730" s="6"/>
      <c r="G730" s="6"/>
      <c r="H730" s="6"/>
      <c r="I730" s="14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16"/>
      <c r="B731" s="17"/>
      <c r="C731" s="6"/>
      <c r="D731" s="6"/>
      <c r="E731" s="6"/>
      <c r="F731" s="6"/>
      <c r="G731" s="6"/>
      <c r="H731" s="6"/>
      <c r="I731" s="14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16"/>
      <c r="B732" s="17"/>
      <c r="C732" s="6"/>
      <c r="D732" s="6"/>
      <c r="E732" s="6"/>
      <c r="F732" s="6"/>
      <c r="G732" s="6"/>
      <c r="H732" s="6"/>
      <c r="I732" s="14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16"/>
      <c r="B733" s="17"/>
      <c r="C733" s="6"/>
      <c r="D733" s="6"/>
      <c r="E733" s="6"/>
      <c r="F733" s="6"/>
      <c r="G733" s="6"/>
      <c r="H733" s="6"/>
      <c r="I733" s="14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16"/>
      <c r="B734" s="17"/>
      <c r="C734" s="6"/>
      <c r="D734" s="6"/>
      <c r="E734" s="6"/>
      <c r="F734" s="6"/>
      <c r="G734" s="6"/>
      <c r="H734" s="6"/>
      <c r="I734" s="14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16"/>
      <c r="B735" s="17"/>
      <c r="C735" s="6"/>
      <c r="D735" s="6"/>
      <c r="E735" s="6"/>
      <c r="F735" s="6"/>
      <c r="G735" s="6"/>
      <c r="H735" s="6"/>
      <c r="I735" s="14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16"/>
      <c r="B736" s="17"/>
      <c r="C736" s="6"/>
      <c r="D736" s="6"/>
      <c r="E736" s="6"/>
      <c r="F736" s="6"/>
      <c r="G736" s="6"/>
      <c r="H736" s="6"/>
      <c r="I736" s="14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16"/>
      <c r="B737" s="17"/>
      <c r="C737" s="6"/>
      <c r="D737" s="6"/>
      <c r="E737" s="6"/>
      <c r="F737" s="6"/>
      <c r="G737" s="6"/>
      <c r="H737" s="6"/>
      <c r="I737" s="14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16"/>
      <c r="B738" s="17"/>
      <c r="C738" s="6"/>
      <c r="D738" s="6"/>
      <c r="E738" s="6"/>
      <c r="F738" s="6"/>
      <c r="G738" s="6"/>
      <c r="H738" s="6"/>
      <c r="I738" s="14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16"/>
      <c r="B739" s="17"/>
      <c r="C739" s="6"/>
      <c r="D739" s="6"/>
      <c r="E739" s="6"/>
      <c r="F739" s="6"/>
      <c r="G739" s="6"/>
      <c r="H739" s="6"/>
      <c r="I739" s="14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16"/>
      <c r="B740" s="17"/>
      <c r="C740" s="6"/>
      <c r="D740" s="6"/>
      <c r="E740" s="6"/>
      <c r="F740" s="6"/>
      <c r="G740" s="6"/>
      <c r="H740" s="6"/>
      <c r="I740" s="14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16"/>
      <c r="B741" s="17"/>
      <c r="C741" s="6"/>
      <c r="D741" s="6"/>
      <c r="E741" s="6"/>
      <c r="F741" s="6"/>
      <c r="G741" s="6"/>
      <c r="H741" s="6"/>
      <c r="I741" s="14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16"/>
      <c r="B742" s="17"/>
      <c r="C742" s="6"/>
      <c r="D742" s="6"/>
      <c r="E742" s="6"/>
      <c r="F742" s="6"/>
      <c r="G742" s="6"/>
      <c r="H742" s="6"/>
      <c r="I742" s="14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16"/>
      <c r="B743" s="17"/>
      <c r="C743" s="6"/>
      <c r="D743" s="6"/>
      <c r="E743" s="6"/>
      <c r="F743" s="6"/>
      <c r="G743" s="6"/>
      <c r="H743" s="6"/>
      <c r="I743" s="14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16"/>
      <c r="B744" s="17"/>
      <c r="C744" s="6"/>
      <c r="D744" s="6"/>
      <c r="E744" s="6"/>
      <c r="F744" s="6"/>
      <c r="G744" s="6"/>
      <c r="H744" s="6"/>
      <c r="I744" s="14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16"/>
      <c r="B745" s="17"/>
      <c r="C745" s="6"/>
      <c r="D745" s="6"/>
      <c r="E745" s="6"/>
      <c r="F745" s="6"/>
      <c r="G745" s="6"/>
      <c r="H745" s="6"/>
      <c r="I745" s="14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16"/>
      <c r="B746" s="17"/>
      <c r="C746" s="6"/>
      <c r="D746" s="6"/>
      <c r="E746" s="6"/>
      <c r="F746" s="6"/>
      <c r="G746" s="6"/>
      <c r="H746" s="6"/>
      <c r="I746" s="14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16"/>
      <c r="B747" s="17"/>
      <c r="C747" s="6"/>
      <c r="D747" s="6"/>
      <c r="E747" s="6"/>
      <c r="F747" s="6"/>
      <c r="G747" s="6"/>
      <c r="H747" s="6"/>
      <c r="I747" s="14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16"/>
      <c r="B748" s="17"/>
      <c r="C748" s="6"/>
      <c r="D748" s="6"/>
      <c r="E748" s="6"/>
      <c r="F748" s="6"/>
      <c r="G748" s="6"/>
      <c r="H748" s="6"/>
      <c r="I748" s="14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16"/>
      <c r="B749" s="17"/>
      <c r="C749" s="6"/>
      <c r="D749" s="6"/>
      <c r="E749" s="6"/>
      <c r="F749" s="6"/>
      <c r="G749" s="6"/>
      <c r="H749" s="6"/>
      <c r="I749" s="14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16"/>
      <c r="B750" s="17"/>
      <c r="C750" s="6"/>
      <c r="D750" s="6"/>
      <c r="E750" s="6"/>
      <c r="F750" s="6"/>
      <c r="G750" s="6"/>
      <c r="H750" s="6"/>
      <c r="I750" s="14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16"/>
      <c r="B751" s="17"/>
      <c r="C751" s="6"/>
      <c r="D751" s="6"/>
      <c r="E751" s="6"/>
      <c r="F751" s="6"/>
      <c r="G751" s="6"/>
      <c r="H751" s="6"/>
      <c r="I751" s="14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16"/>
      <c r="B752" s="17"/>
      <c r="C752" s="6"/>
      <c r="D752" s="6"/>
      <c r="E752" s="6"/>
      <c r="F752" s="6"/>
      <c r="G752" s="6"/>
      <c r="H752" s="6"/>
      <c r="I752" s="14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16"/>
      <c r="B753" s="17"/>
      <c r="C753" s="6"/>
      <c r="D753" s="6"/>
      <c r="E753" s="6"/>
      <c r="F753" s="6"/>
      <c r="G753" s="6"/>
      <c r="H753" s="6"/>
      <c r="I753" s="14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16"/>
      <c r="B754" s="17"/>
      <c r="C754" s="6"/>
      <c r="D754" s="6"/>
      <c r="E754" s="6"/>
      <c r="F754" s="6"/>
      <c r="G754" s="6"/>
      <c r="H754" s="6"/>
      <c r="I754" s="14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16"/>
      <c r="B755" s="17"/>
      <c r="C755" s="6"/>
      <c r="D755" s="6"/>
      <c r="E755" s="6"/>
      <c r="F755" s="6"/>
      <c r="G755" s="6"/>
      <c r="H755" s="6"/>
      <c r="I755" s="14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16"/>
      <c r="B756" s="17"/>
      <c r="C756" s="6"/>
      <c r="D756" s="6"/>
      <c r="E756" s="6"/>
      <c r="F756" s="6"/>
      <c r="G756" s="6"/>
      <c r="H756" s="6"/>
      <c r="I756" s="14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16"/>
      <c r="B757" s="17"/>
      <c r="C757" s="6"/>
      <c r="D757" s="6"/>
      <c r="E757" s="6"/>
      <c r="F757" s="6"/>
      <c r="G757" s="6"/>
      <c r="H757" s="6"/>
      <c r="I757" s="14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16"/>
      <c r="B758" s="17"/>
      <c r="C758" s="6"/>
      <c r="D758" s="6"/>
      <c r="E758" s="6"/>
      <c r="F758" s="6"/>
      <c r="G758" s="6"/>
      <c r="H758" s="6"/>
      <c r="I758" s="14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16"/>
      <c r="B759" s="17"/>
      <c r="C759" s="6"/>
      <c r="D759" s="6"/>
      <c r="E759" s="6"/>
      <c r="F759" s="6"/>
      <c r="G759" s="6"/>
      <c r="H759" s="6"/>
      <c r="I759" s="14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16"/>
      <c r="B760" s="17"/>
      <c r="C760" s="6"/>
      <c r="D760" s="6"/>
      <c r="E760" s="6"/>
      <c r="F760" s="6"/>
      <c r="G760" s="6"/>
      <c r="H760" s="6"/>
      <c r="I760" s="14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16"/>
      <c r="B761" s="17"/>
      <c r="C761" s="6"/>
      <c r="D761" s="6"/>
      <c r="E761" s="6"/>
      <c r="F761" s="6"/>
      <c r="G761" s="6"/>
      <c r="H761" s="6"/>
      <c r="I761" s="14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16"/>
      <c r="B762" s="17"/>
      <c r="C762" s="6"/>
      <c r="D762" s="6"/>
      <c r="E762" s="6"/>
      <c r="F762" s="6"/>
      <c r="G762" s="6"/>
      <c r="H762" s="6"/>
      <c r="I762" s="14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16"/>
      <c r="B763" s="17"/>
      <c r="C763" s="6"/>
      <c r="D763" s="6"/>
      <c r="E763" s="6"/>
      <c r="F763" s="6"/>
      <c r="G763" s="6"/>
      <c r="H763" s="6"/>
      <c r="I763" s="14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16"/>
      <c r="B764" s="17"/>
      <c r="C764" s="6"/>
      <c r="D764" s="6"/>
      <c r="E764" s="6"/>
      <c r="F764" s="6"/>
      <c r="G764" s="6"/>
      <c r="H764" s="6"/>
      <c r="I764" s="14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16"/>
      <c r="B765" s="17"/>
      <c r="C765" s="6"/>
      <c r="D765" s="6"/>
      <c r="E765" s="6"/>
      <c r="F765" s="6"/>
      <c r="G765" s="6"/>
      <c r="H765" s="6"/>
      <c r="I765" s="14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16"/>
      <c r="B766" s="17"/>
      <c r="C766" s="6"/>
      <c r="D766" s="6"/>
      <c r="E766" s="6"/>
      <c r="F766" s="6"/>
      <c r="G766" s="6"/>
      <c r="H766" s="6"/>
      <c r="I766" s="14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16"/>
      <c r="B767" s="17"/>
      <c r="C767" s="6"/>
      <c r="D767" s="6"/>
      <c r="E767" s="6"/>
      <c r="F767" s="6"/>
      <c r="G767" s="6"/>
      <c r="H767" s="6"/>
      <c r="I767" s="14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16"/>
      <c r="B768" s="17"/>
      <c r="C768" s="6"/>
      <c r="D768" s="6"/>
      <c r="E768" s="6"/>
      <c r="F768" s="6"/>
      <c r="G768" s="6"/>
      <c r="H768" s="6"/>
      <c r="I768" s="14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16"/>
      <c r="B769" s="17"/>
      <c r="C769" s="6"/>
      <c r="D769" s="6"/>
      <c r="E769" s="6"/>
      <c r="F769" s="6"/>
      <c r="G769" s="6"/>
      <c r="H769" s="6"/>
      <c r="I769" s="14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16"/>
      <c r="B770" s="17"/>
      <c r="C770" s="6"/>
      <c r="D770" s="6"/>
      <c r="E770" s="6"/>
      <c r="F770" s="6"/>
      <c r="G770" s="6"/>
      <c r="H770" s="6"/>
      <c r="I770" s="14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16"/>
      <c r="B771" s="17"/>
      <c r="C771" s="6"/>
      <c r="D771" s="6"/>
      <c r="E771" s="6"/>
      <c r="F771" s="6"/>
      <c r="G771" s="6"/>
      <c r="H771" s="6"/>
      <c r="I771" s="14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16"/>
      <c r="B772" s="17"/>
      <c r="C772" s="6"/>
      <c r="D772" s="6"/>
      <c r="E772" s="6"/>
      <c r="F772" s="6"/>
      <c r="G772" s="6"/>
      <c r="H772" s="6"/>
      <c r="I772" s="14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16"/>
      <c r="B773" s="17"/>
      <c r="C773" s="6"/>
      <c r="D773" s="6"/>
      <c r="E773" s="6"/>
      <c r="F773" s="6"/>
      <c r="G773" s="6"/>
      <c r="H773" s="6"/>
      <c r="I773" s="14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16"/>
      <c r="B774" s="17"/>
      <c r="C774" s="6"/>
      <c r="D774" s="6"/>
      <c r="E774" s="6"/>
      <c r="F774" s="6"/>
      <c r="G774" s="6"/>
      <c r="H774" s="6"/>
      <c r="I774" s="14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16"/>
      <c r="B775" s="17"/>
      <c r="C775" s="6"/>
      <c r="D775" s="6"/>
      <c r="E775" s="6"/>
      <c r="F775" s="6"/>
      <c r="G775" s="6"/>
      <c r="H775" s="6"/>
      <c r="I775" s="14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16"/>
      <c r="B776" s="17"/>
      <c r="C776" s="6"/>
      <c r="D776" s="6"/>
      <c r="E776" s="6"/>
      <c r="F776" s="6"/>
      <c r="G776" s="6"/>
      <c r="H776" s="6"/>
      <c r="I776" s="14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16"/>
      <c r="B777" s="17"/>
      <c r="C777" s="6"/>
      <c r="D777" s="6"/>
      <c r="E777" s="6"/>
      <c r="F777" s="6"/>
      <c r="G777" s="6"/>
      <c r="H777" s="6"/>
      <c r="I777" s="14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16"/>
      <c r="B778" s="17"/>
      <c r="C778" s="6"/>
      <c r="D778" s="6"/>
      <c r="E778" s="6"/>
      <c r="F778" s="6"/>
      <c r="G778" s="6"/>
      <c r="H778" s="6"/>
      <c r="I778" s="14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16"/>
      <c r="B779" s="17"/>
      <c r="C779" s="6"/>
      <c r="D779" s="6"/>
      <c r="E779" s="6"/>
      <c r="F779" s="6"/>
      <c r="G779" s="6"/>
      <c r="H779" s="6"/>
      <c r="I779" s="14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16"/>
      <c r="B780" s="17"/>
      <c r="C780" s="6"/>
      <c r="D780" s="6"/>
      <c r="E780" s="6"/>
      <c r="F780" s="6"/>
      <c r="G780" s="6"/>
      <c r="H780" s="6"/>
      <c r="I780" s="14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16"/>
      <c r="B781" s="17"/>
      <c r="C781" s="6"/>
      <c r="D781" s="6"/>
      <c r="E781" s="6"/>
      <c r="F781" s="6"/>
      <c r="G781" s="6"/>
      <c r="H781" s="6"/>
      <c r="I781" s="14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16"/>
      <c r="B782" s="17"/>
      <c r="C782" s="6"/>
      <c r="D782" s="6"/>
      <c r="E782" s="6"/>
      <c r="F782" s="6"/>
      <c r="G782" s="6"/>
      <c r="H782" s="6"/>
      <c r="I782" s="14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16"/>
      <c r="B783" s="17"/>
      <c r="C783" s="6"/>
      <c r="D783" s="6"/>
      <c r="E783" s="6"/>
      <c r="F783" s="6"/>
      <c r="G783" s="6"/>
      <c r="H783" s="6"/>
      <c r="I783" s="14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16"/>
      <c r="B784" s="17"/>
      <c r="C784" s="6"/>
      <c r="D784" s="6"/>
      <c r="E784" s="6"/>
      <c r="F784" s="6"/>
      <c r="G784" s="6"/>
      <c r="H784" s="6"/>
      <c r="I784" s="14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16"/>
      <c r="B785" s="17"/>
      <c r="C785" s="6"/>
      <c r="D785" s="6"/>
      <c r="E785" s="6"/>
      <c r="F785" s="6"/>
      <c r="G785" s="6"/>
      <c r="H785" s="6"/>
      <c r="I785" s="14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16"/>
      <c r="B786" s="17"/>
      <c r="C786" s="6"/>
      <c r="D786" s="6"/>
      <c r="E786" s="6"/>
      <c r="F786" s="6"/>
      <c r="G786" s="6"/>
      <c r="H786" s="6"/>
      <c r="I786" s="14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16"/>
      <c r="B787" s="17"/>
      <c r="C787" s="6"/>
      <c r="D787" s="6"/>
      <c r="E787" s="6"/>
      <c r="F787" s="6"/>
      <c r="G787" s="6"/>
      <c r="H787" s="6"/>
      <c r="I787" s="14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16"/>
      <c r="B788" s="17"/>
      <c r="C788" s="6"/>
      <c r="D788" s="6"/>
      <c r="E788" s="6"/>
      <c r="F788" s="6"/>
      <c r="G788" s="6"/>
      <c r="H788" s="6"/>
      <c r="I788" s="14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16"/>
      <c r="B789" s="17"/>
      <c r="C789" s="6"/>
      <c r="D789" s="6"/>
      <c r="E789" s="6"/>
      <c r="F789" s="6"/>
      <c r="G789" s="6"/>
      <c r="H789" s="6"/>
      <c r="I789" s="14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16"/>
      <c r="B790" s="17"/>
      <c r="C790" s="6"/>
      <c r="D790" s="6"/>
      <c r="E790" s="6"/>
      <c r="F790" s="6"/>
      <c r="G790" s="6"/>
      <c r="H790" s="6"/>
      <c r="I790" s="14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16"/>
      <c r="B791" s="17"/>
      <c r="C791" s="6"/>
      <c r="D791" s="6"/>
      <c r="E791" s="6"/>
      <c r="F791" s="6"/>
      <c r="G791" s="6"/>
      <c r="H791" s="6"/>
      <c r="I791" s="14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16"/>
      <c r="B792" s="17"/>
      <c r="C792" s="6"/>
      <c r="D792" s="6"/>
      <c r="E792" s="6"/>
      <c r="F792" s="6"/>
      <c r="G792" s="6"/>
      <c r="H792" s="6"/>
      <c r="I792" s="14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16"/>
      <c r="B793" s="17"/>
      <c r="C793" s="6"/>
      <c r="D793" s="6"/>
      <c r="E793" s="6"/>
      <c r="F793" s="6"/>
      <c r="G793" s="6"/>
      <c r="H793" s="6"/>
      <c r="I793" s="14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16"/>
      <c r="B794" s="17"/>
      <c r="C794" s="6"/>
      <c r="D794" s="6"/>
      <c r="E794" s="6"/>
      <c r="F794" s="6"/>
      <c r="G794" s="6"/>
      <c r="H794" s="6"/>
      <c r="I794" s="14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16"/>
      <c r="B795" s="17"/>
      <c r="C795" s="6"/>
      <c r="D795" s="6"/>
      <c r="E795" s="6"/>
      <c r="F795" s="6"/>
      <c r="G795" s="6"/>
      <c r="H795" s="6"/>
      <c r="I795" s="14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16"/>
      <c r="B796" s="17"/>
      <c r="C796" s="6"/>
      <c r="D796" s="6"/>
      <c r="E796" s="6"/>
      <c r="F796" s="6"/>
      <c r="G796" s="6"/>
      <c r="H796" s="6"/>
      <c r="I796" s="14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16"/>
      <c r="B797" s="17"/>
      <c r="C797" s="6"/>
      <c r="D797" s="6"/>
      <c r="E797" s="6"/>
      <c r="F797" s="6"/>
      <c r="G797" s="6"/>
      <c r="H797" s="6"/>
      <c r="I797" s="14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16"/>
      <c r="B798" s="17"/>
      <c r="C798" s="6"/>
      <c r="D798" s="6"/>
      <c r="E798" s="6"/>
      <c r="F798" s="6"/>
      <c r="G798" s="6"/>
      <c r="H798" s="6"/>
      <c r="I798" s="14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16"/>
      <c r="B799" s="17"/>
      <c r="C799" s="6"/>
      <c r="D799" s="6"/>
      <c r="E799" s="6"/>
      <c r="F799" s="6"/>
      <c r="G799" s="6"/>
      <c r="H799" s="6"/>
      <c r="I799" s="14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16"/>
      <c r="B800" s="17"/>
      <c r="C800" s="6"/>
      <c r="D800" s="6"/>
      <c r="E800" s="6"/>
      <c r="F800" s="6"/>
      <c r="G800" s="6"/>
      <c r="H800" s="6"/>
      <c r="I800" s="14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16"/>
      <c r="B801" s="17"/>
      <c r="C801" s="6"/>
      <c r="D801" s="6"/>
      <c r="E801" s="6"/>
      <c r="F801" s="6"/>
      <c r="G801" s="6"/>
      <c r="H801" s="6"/>
      <c r="I801" s="14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16"/>
      <c r="B802" s="17"/>
      <c r="C802" s="6"/>
      <c r="D802" s="6"/>
      <c r="E802" s="6"/>
      <c r="F802" s="6"/>
      <c r="G802" s="6"/>
      <c r="H802" s="6"/>
      <c r="I802" s="14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16"/>
      <c r="B803" s="17"/>
      <c r="C803" s="6"/>
      <c r="D803" s="6"/>
      <c r="E803" s="6"/>
      <c r="F803" s="6"/>
      <c r="G803" s="6"/>
      <c r="H803" s="6"/>
      <c r="I803" s="14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16"/>
      <c r="B804" s="17"/>
      <c r="C804" s="6"/>
      <c r="D804" s="6"/>
      <c r="E804" s="6"/>
      <c r="F804" s="6"/>
      <c r="G804" s="6"/>
      <c r="H804" s="6"/>
      <c r="I804" s="14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16"/>
      <c r="B805" s="17"/>
      <c r="C805" s="6"/>
      <c r="D805" s="6"/>
      <c r="E805" s="6"/>
      <c r="F805" s="6"/>
      <c r="G805" s="6"/>
      <c r="H805" s="6"/>
      <c r="I805" s="14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16"/>
      <c r="B806" s="17"/>
      <c r="C806" s="6"/>
      <c r="D806" s="6"/>
      <c r="E806" s="6"/>
      <c r="F806" s="6"/>
      <c r="G806" s="6"/>
      <c r="H806" s="6"/>
      <c r="I806" s="14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16"/>
      <c r="B807" s="17"/>
      <c r="C807" s="6"/>
      <c r="D807" s="6"/>
      <c r="E807" s="6"/>
      <c r="F807" s="6"/>
      <c r="G807" s="6"/>
      <c r="H807" s="6"/>
      <c r="I807" s="14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16"/>
      <c r="B808" s="17"/>
      <c r="C808" s="6"/>
      <c r="D808" s="6"/>
      <c r="E808" s="6"/>
      <c r="F808" s="6"/>
      <c r="G808" s="6"/>
      <c r="H808" s="6"/>
      <c r="I808" s="14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16"/>
      <c r="B809" s="17"/>
      <c r="C809" s="6"/>
      <c r="D809" s="6"/>
      <c r="E809" s="6"/>
      <c r="F809" s="6"/>
      <c r="G809" s="6"/>
      <c r="H809" s="6"/>
      <c r="I809" s="14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16"/>
      <c r="B810" s="17"/>
      <c r="C810" s="6"/>
      <c r="D810" s="6"/>
      <c r="E810" s="6"/>
      <c r="F810" s="6"/>
      <c r="G810" s="6"/>
      <c r="H810" s="6"/>
      <c r="I810" s="14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16"/>
      <c r="B811" s="17"/>
      <c r="C811" s="6"/>
      <c r="D811" s="6"/>
      <c r="E811" s="6"/>
      <c r="F811" s="6"/>
      <c r="G811" s="6"/>
      <c r="H811" s="6"/>
      <c r="I811" s="14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16"/>
      <c r="B812" s="17"/>
      <c r="C812" s="6"/>
      <c r="D812" s="6"/>
      <c r="E812" s="6"/>
      <c r="F812" s="6"/>
      <c r="G812" s="6"/>
      <c r="H812" s="6"/>
      <c r="I812" s="14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16"/>
      <c r="B813" s="17"/>
      <c r="C813" s="6"/>
      <c r="D813" s="6"/>
      <c r="E813" s="6"/>
      <c r="F813" s="6"/>
      <c r="G813" s="6"/>
      <c r="H813" s="6"/>
      <c r="I813" s="14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16"/>
      <c r="B814" s="17"/>
      <c r="C814" s="6"/>
      <c r="D814" s="6"/>
      <c r="E814" s="6"/>
      <c r="F814" s="6"/>
      <c r="G814" s="6"/>
      <c r="H814" s="6"/>
      <c r="I814" s="14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16"/>
      <c r="B815" s="17"/>
      <c r="C815" s="6"/>
      <c r="D815" s="6"/>
      <c r="E815" s="6"/>
      <c r="F815" s="6"/>
      <c r="G815" s="6"/>
      <c r="H815" s="6"/>
      <c r="I815" s="14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16"/>
      <c r="B816" s="17"/>
      <c r="C816" s="6"/>
      <c r="D816" s="6"/>
      <c r="E816" s="6"/>
      <c r="F816" s="6"/>
      <c r="G816" s="6"/>
      <c r="H816" s="6"/>
      <c r="I816" s="14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16"/>
      <c r="B817" s="17"/>
      <c r="C817" s="6"/>
      <c r="D817" s="6"/>
      <c r="E817" s="6"/>
      <c r="F817" s="6"/>
      <c r="G817" s="6"/>
      <c r="H817" s="6"/>
      <c r="I817" s="14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16"/>
      <c r="B818" s="17"/>
      <c r="C818" s="6"/>
      <c r="D818" s="6"/>
      <c r="E818" s="6"/>
      <c r="F818" s="6"/>
      <c r="G818" s="6"/>
      <c r="H818" s="6"/>
      <c r="I818" s="14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16"/>
      <c r="B819" s="17"/>
      <c r="C819" s="6"/>
      <c r="D819" s="6"/>
      <c r="E819" s="6"/>
      <c r="F819" s="6"/>
      <c r="G819" s="6"/>
      <c r="H819" s="6"/>
      <c r="I819" s="14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16"/>
      <c r="B820" s="17"/>
      <c r="C820" s="6"/>
      <c r="D820" s="6"/>
      <c r="E820" s="6"/>
      <c r="F820" s="6"/>
      <c r="G820" s="6"/>
      <c r="H820" s="6"/>
      <c r="I820" s="14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16"/>
      <c r="B821" s="17"/>
      <c r="C821" s="6"/>
      <c r="D821" s="6"/>
      <c r="E821" s="6"/>
      <c r="F821" s="6"/>
      <c r="G821" s="6"/>
      <c r="H821" s="6"/>
      <c r="I821" s="14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16"/>
      <c r="B822" s="17"/>
      <c r="C822" s="6"/>
      <c r="D822" s="6"/>
      <c r="E822" s="6"/>
      <c r="F822" s="6"/>
      <c r="G822" s="6"/>
      <c r="H822" s="6"/>
      <c r="I822" s="14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16"/>
      <c r="B823" s="17"/>
      <c r="C823" s="6"/>
      <c r="D823" s="6"/>
      <c r="E823" s="6"/>
      <c r="F823" s="6"/>
      <c r="G823" s="6"/>
      <c r="H823" s="6"/>
      <c r="I823" s="14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16"/>
      <c r="B824" s="17"/>
      <c r="C824" s="6"/>
      <c r="D824" s="6"/>
      <c r="E824" s="6"/>
      <c r="F824" s="6"/>
      <c r="G824" s="6"/>
      <c r="H824" s="6"/>
      <c r="I824" s="14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16"/>
      <c r="B825" s="17"/>
      <c r="C825" s="6"/>
      <c r="D825" s="6"/>
      <c r="E825" s="6"/>
      <c r="F825" s="6"/>
      <c r="G825" s="6"/>
      <c r="H825" s="6"/>
      <c r="I825" s="14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16"/>
      <c r="B826" s="17"/>
      <c r="C826" s="6"/>
      <c r="D826" s="6"/>
      <c r="E826" s="6"/>
      <c r="F826" s="6"/>
      <c r="G826" s="6"/>
      <c r="H826" s="6"/>
      <c r="I826" s="14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16"/>
      <c r="B827" s="17"/>
      <c r="C827" s="6"/>
      <c r="D827" s="6"/>
      <c r="E827" s="6"/>
      <c r="F827" s="6"/>
      <c r="G827" s="6"/>
      <c r="H827" s="6"/>
      <c r="I827" s="14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16"/>
      <c r="B828" s="17"/>
      <c r="C828" s="6"/>
      <c r="D828" s="6"/>
      <c r="E828" s="6"/>
      <c r="F828" s="6"/>
      <c r="G828" s="6"/>
      <c r="H828" s="6"/>
      <c r="I828" s="14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16"/>
      <c r="B829" s="17"/>
      <c r="C829" s="6"/>
      <c r="D829" s="6"/>
      <c r="E829" s="6"/>
      <c r="F829" s="6"/>
      <c r="G829" s="6"/>
      <c r="H829" s="6"/>
      <c r="I829" s="14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16"/>
      <c r="B830" s="17"/>
      <c r="C830" s="6"/>
      <c r="D830" s="6"/>
      <c r="E830" s="6"/>
      <c r="F830" s="6"/>
      <c r="G830" s="6"/>
      <c r="H830" s="6"/>
      <c r="I830" s="14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16"/>
      <c r="B831" s="17"/>
      <c r="C831" s="6"/>
      <c r="D831" s="6"/>
      <c r="E831" s="6"/>
      <c r="F831" s="6"/>
      <c r="G831" s="6"/>
      <c r="H831" s="6"/>
      <c r="I831" s="14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16"/>
      <c r="B832" s="17"/>
      <c r="C832" s="6"/>
      <c r="D832" s="6"/>
      <c r="E832" s="6"/>
      <c r="F832" s="6"/>
      <c r="G832" s="6"/>
      <c r="H832" s="6"/>
      <c r="I832" s="14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16"/>
      <c r="B833" s="17"/>
      <c r="C833" s="6"/>
      <c r="D833" s="6"/>
      <c r="E833" s="6"/>
      <c r="F833" s="6"/>
      <c r="G833" s="6"/>
      <c r="H833" s="6"/>
      <c r="I833" s="14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16"/>
      <c r="B834" s="17"/>
      <c r="C834" s="6"/>
      <c r="D834" s="6"/>
      <c r="E834" s="6"/>
      <c r="F834" s="6"/>
      <c r="G834" s="6"/>
      <c r="H834" s="6"/>
      <c r="I834" s="14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16"/>
      <c r="B835" s="17"/>
      <c r="C835" s="6"/>
      <c r="D835" s="6"/>
      <c r="E835" s="6"/>
      <c r="F835" s="6"/>
      <c r="G835" s="6"/>
      <c r="H835" s="6"/>
      <c r="I835" s="14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16"/>
      <c r="B836" s="17"/>
      <c r="C836" s="6"/>
      <c r="D836" s="6"/>
      <c r="E836" s="6"/>
      <c r="F836" s="6"/>
      <c r="G836" s="6"/>
      <c r="H836" s="6"/>
      <c r="I836" s="14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16"/>
      <c r="B837" s="17"/>
      <c r="C837" s="6"/>
      <c r="D837" s="6"/>
      <c r="E837" s="6"/>
      <c r="F837" s="6"/>
      <c r="G837" s="6"/>
      <c r="H837" s="6"/>
      <c r="I837" s="14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16"/>
      <c r="B838" s="17"/>
      <c r="C838" s="6"/>
      <c r="D838" s="6"/>
      <c r="E838" s="6"/>
      <c r="F838" s="6"/>
      <c r="G838" s="6"/>
      <c r="H838" s="6"/>
      <c r="I838" s="14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16"/>
      <c r="B839" s="17"/>
      <c r="C839" s="6"/>
      <c r="D839" s="6"/>
      <c r="E839" s="6"/>
      <c r="F839" s="6"/>
      <c r="G839" s="6"/>
      <c r="H839" s="6"/>
      <c r="I839" s="14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16"/>
      <c r="B840" s="17"/>
      <c r="C840" s="6"/>
      <c r="D840" s="6"/>
      <c r="E840" s="6"/>
      <c r="F840" s="6"/>
      <c r="G840" s="6"/>
      <c r="H840" s="6"/>
      <c r="I840" s="14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16"/>
      <c r="B841" s="17"/>
      <c r="C841" s="6"/>
      <c r="D841" s="6"/>
      <c r="E841" s="6"/>
      <c r="F841" s="6"/>
      <c r="G841" s="6"/>
      <c r="H841" s="6"/>
      <c r="I841" s="14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16"/>
      <c r="B842" s="17"/>
      <c r="C842" s="6"/>
      <c r="D842" s="6"/>
      <c r="E842" s="6"/>
      <c r="F842" s="6"/>
      <c r="G842" s="6"/>
      <c r="H842" s="6"/>
      <c r="I842" s="14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16"/>
      <c r="B843" s="17"/>
      <c r="C843" s="6"/>
      <c r="D843" s="6"/>
      <c r="E843" s="6"/>
      <c r="F843" s="6"/>
      <c r="G843" s="6"/>
      <c r="H843" s="6"/>
      <c r="I843" s="14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16"/>
      <c r="B844" s="17"/>
      <c r="C844" s="6"/>
      <c r="D844" s="6"/>
      <c r="E844" s="6"/>
      <c r="F844" s="6"/>
      <c r="G844" s="6"/>
      <c r="H844" s="6"/>
      <c r="I844" s="14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16"/>
      <c r="B845" s="17"/>
      <c r="C845" s="6"/>
      <c r="D845" s="6"/>
      <c r="E845" s="6"/>
      <c r="F845" s="6"/>
      <c r="G845" s="6"/>
      <c r="H845" s="6"/>
      <c r="I845" s="14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16"/>
      <c r="B846" s="17"/>
      <c r="C846" s="6"/>
      <c r="D846" s="6"/>
      <c r="E846" s="6"/>
      <c r="F846" s="6"/>
      <c r="G846" s="6"/>
      <c r="H846" s="6"/>
      <c r="I846" s="14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16"/>
      <c r="B847" s="17"/>
      <c r="C847" s="6"/>
      <c r="D847" s="6"/>
      <c r="E847" s="6"/>
      <c r="F847" s="6"/>
      <c r="G847" s="6"/>
      <c r="H847" s="6"/>
      <c r="I847" s="14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16"/>
      <c r="B848" s="17"/>
      <c r="C848" s="6"/>
      <c r="D848" s="6"/>
      <c r="E848" s="6"/>
      <c r="F848" s="6"/>
      <c r="G848" s="6"/>
      <c r="H848" s="6"/>
      <c r="I848" s="14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16"/>
      <c r="B849" s="17"/>
      <c r="C849" s="6"/>
      <c r="D849" s="6"/>
      <c r="E849" s="6"/>
      <c r="F849" s="6"/>
      <c r="G849" s="6"/>
      <c r="H849" s="6"/>
      <c r="I849" s="14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16"/>
      <c r="B850" s="17"/>
      <c r="C850" s="6"/>
      <c r="D850" s="6"/>
      <c r="E850" s="6"/>
      <c r="F850" s="6"/>
      <c r="G850" s="6"/>
      <c r="H850" s="6"/>
      <c r="I850" s="14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16"/>
      <c r="B851" s="17"/>
      <c r="C851" s="6"/>
      <c r="D851" s="6"/>
      <c r="E851" s="6"/>
      <c r="F851" s="6"/>
      <c r="G851" s="6"/>
      <c r="H851" s="6"/>
      <c r="I851" s="14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16"/>
      <c r="B852" s="17"/>
      <c r="C852" s="6"/>
      <c r="D852" s="6"/>
      <c r="E852" s="6"/>
      <c r="F852" s="6"/>
      <c r="G852" s="6"/>
      <c r="H852" s="6"/>
      <c r="I852" s="14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16"/>
      <c r="B853" s="17"/>
      <c r="C853" s="6"/>
      <c r="D853" s="6"/>
      <c r="E853" s="6"/>
      <c r="F853" s="6"/>
      <c r="G853" s="6"/>
      <c r="H853" s="6"/>
      <c r="I853" s="14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16"/>
      <c r="B854" s="17"/>
      <c r="C854" s="6"/>
      <c r="D854" s="6"/>
      <c r="E854" s="6"/>
      <c r="F854" s="6"/>
      <c r="G854" s="6"/>
      <c r="H854" s="6"/>
      <c r="I854" s="14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16"/>
      <c r="B855" s="17"/>
      <c r="C855" s="6"/>
      <c r="D855" s="6"/>
      <c r="E855" s="6"/>
      <c r="F855" s="6"/>
      <c r="G855" s="6"/>
      <c r="H855" s="6"/>
      <c r="I855" s="14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16"/>
      <c r="B856" s="17"/>
      <c r="C856" s="6"/>
      <c r="D856" s="6"/>
      <c r="E856" s="6"/>
      <c r="F856" s="6"/>
      <c r="G856" s="6"/>
      <c r="H856" s="6"/>
      <c r="I856" s="14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16"/>
      <c r="B857" s="17"/>
      <c r="C857" s="6"/>
      <c r="D857" s="6"/>
      <c r="E857" s="6"/>
      <c r="F857" s="6"/>
      <c r="G857" s="6"/>
      <c r="H857" s="6"/>
      <c r="I857" s="14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16"/>
      <c r="B858" s="17"/>
      <c r="C858" s="6"/>
      <c r="D858" s="6"/>
      <c r="E858" s="6"/>
      <c r="F858" s="6"/>
      <c r="G858" s="6"/>
      <c r="H858" s="6"/>
      <c r="I858" s="14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16"/>
      <c r="B859" s="17"/>
      <c r="C859" s="6"/>
      <c r="D859" s="6"/>
      <c r="E859" s="6"/>
      <c r="F859" s="6"/>
      <c r="G859" s="6"/>
      <c r="H859" s="6"/>
      <c r="I859" s="14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16"/>
      <c r="B860" s="17"/>
      <c r="C860" s="6"/>
      <c r="D860" s="6"/>
      <c r="E860" s="6"/>
      <c r="F860" s="6"/>
      <c r="G860" s="6"/>
      <c r="H860" s="6"/>
      <c r="I860" s="14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16"/>
      <c r="B861" s="17"/>
      <c r="C861" s="6"/>
      <c r="D861" s="6"/>
      <c r="E861" s="6"/>
      <c r="F861" s="6"/>
      <c r="G861" s="6"/>
      <c r="H861" s="6"/>
      <c r="I861" s="14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16"/>
      <c r="B862" s="17"/>
      <c r="C862" s="6"/>
      <c r="D862" s="6"/>
      <c r="E862" s="6"/>
      <c r="F862" s="6"/>
      <c r="G862" s="6"/>
      <c r="H862" s="6"/>
      <c r="I862" s="14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16"/>
      <c r="B863" s="17"/>
      <c r="C863" s="6"/>
      <c r="D863" s="6"/>
      <c r="E863" s="6"/>
      <c r="F863" s="6"/>
      <c r="G863" s="6"/>
      <c r="H863" s="6"/>
      <c r="I863" s="14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16"/>
      <c r="B864" s="17"/>
      <c r="C864" s="6"/>
      <c r="D864" s="6"/>
      <c r="E864" s="6"/>
      <c r="F864" s="6"/>
      <c r="G864" s="6"/>
      <c r="H864" s="6"/>
      <c r="I864" s="14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16"/>
      <c r="B865" s="17"/>
      <c r="C865" s="6"/>
      <c r="D865" s="6"/>
      <c r="E865" s="6"/>
      <c r="F865" s="6"/>
      <c r="G865" s="6"/>
      <c r="H865" s="6"/>
      <c r="I865" s="14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16"/>
      <c r="B866" s="17"/>
      <c r="C866" s="6"/>
      <c r="D866" s="6"/>
      <c r="E866" s="6"/>
      <c r="F866" s="6"/>
      <c r="G866" s="6"/>
      <c r="H866" s="6"/>
      <c r="I866" s="14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16"/>
      <c r="B867" s="17"/>
      <c r="C867" s="6"/>
      <c r="D867" s="6"/>
      <c r="E867" s="6"/>
      <c r="F867" s="6"/>
      <c r="G867" s="6"/>
      <c r="H867" s="6"/>
      <c r="I867" s="14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16"/>
      <c r="B868" s="17"/>
      <c r="C868" s="6"/>
      <c r="D868" s="6"/>
      <c r="E868" s="6"/>
      <c r="F868" s="6"/>
      <c r="G868" s="6"/>
      <c r="H868" s="6"/>
      <c r="I868" s="14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16"/>
      <c r="B869" s="17"/>
      <c r="C869" s="6"/>
      <c r="D869" s="6"/>
      <c r="E869" s="6"/>
      <c r="F869" s="6"/>
      <c r="G869" s="6"/>
      <c r="H869" s="6"/>
      <c r="I869" s="14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16"/>
      <c r="B870" s="17"/>
      <c r="C870" s="6"/>
      <c r="D870" s="6"/>
      <c r="E870" s="6"/>
      <c r="F870" s="6"/>
      <c r="G870" s="6"/>
      <c r="H870" s="6"/>
      <c r="I870" s="14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16"/>
      <c r="B871" s="17"/>
      <c r="C871" s="6"/>
      <c r="D871" s="6"/>
      <c r="E871" s="6"/>
      <c r="F871" s="6"/>
      <c r="G871" s="6"/>
      <c r="H871" s="6"/>
      <c r="I871" s="14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16"/>
      <c r="B872" s="17"/>
      <c r="C872" s="6"/>
      <c r="D872" s="6"/>
      <c r="E872" s="6"/>
      <c r="F872" s="6"/>
      <c r="G872" s="6"/>
      <c r="H872" s="6"/>
      <c r="I872" s="14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16"/>
      <c r="B873" s="17"/>
      <c r="C873" s="6"/>
      <c r="D873" s="6"/>
      <c r="E873" s="6"/>
      <c r="F873" s="6"/>
      <c r="G873" s="6"/>
      <c r="H873" s="6"/>
      <c r="I873" s="14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16"/>
      <c r="B874" s="17"/>
      <c r="C874" s="6"/>
      <c r="D874" s="6"/>
      <c r="E874" s="6"/>
      <c r="F874" s="6"/>
      <c r="G874" s="6"/>
      <c r="H874" s="6"/>
      <c r="I874" s="14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16"/>
      <c r="B875" s="17"/>
      <c r="C875" s="6"/>
      <c r="D875" s="6"/>
      <c r="E875" s="6"/>
      <c r="F875" s="6"/>
      <c r="G875" s="6"/>
      <c r="H875" s="6"/>
      <c r="I875" s="14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16"/>
      <c r="B876" s="17"/>
      <c r="C876" s="6"/>
      <c r="D876" s="6"/>
      <c r="E876" s="6"/>
      <c r="F876" s="6"/>
      <c r="G876" s="6"/>
      <c r="H876" s="6"/>
      <c r="I876" s="14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16"/>
      <c r="B877" s="17"/>
      <c r="C877" s="6"/>
      <c r="D877" s="6"/>
      <c r="E877" s="6"/>
      <c r="F877" s="6"/>
      <c r="G877" s="6"/>
      <c r="H877" s="6"/>
      <c r="I877" s="14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16"/>
      <c r="B878" s="17"/>
      <c r="C878" s="6"/>
      <c r="D878" s="6"/>
      <c r="E878" s="6"/>
      <c r="F878" s="6"/>
      <c r="G878" s="6"/>
      <c r="H878" s="6"/>
      <c r="I878" s="14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16"/>
      <c r="B879" s="17"/>
      <c r="C879" s="6"/>
      <c r="D879" s="6"/>
      <c r="E879" s="6"/>
      <c r="F879" s="6"/>
      <c r="G879" s="6"/>
      <c r="H879" s="6"/>
      <c r="I879" s="14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16"/>
      <c r="B880" s="17"/>
      <c r="C880" s="6"/>
      <c r="D880" s="6"/>
      <c r="E880" s="6"/>
      <c r="F880" s="6"/>
      <c r="G880" s="6"/>
      <c r="H880" s="6"/>
      <c r="I880" s="14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16"/>
      <c r="B881" s="17"/>
      <c r="C881" s="6"/>
      <c r="D881" s="6"/>
      <c r="E881" s="6"/>
      <c r="F881" s="6"/>
      <c r="G881" s="6"/>
      <c r="H881" s="6"/>
      <c r="I881" s="14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16"/>
      <c r="B882" s="17"/>
      <c r="C882" s="6"/>
      <c r="D882" s="6"/>
      <c r="E882" s="6"/>
      <c r="F882" s="6"/>
      <c r="G882" s="6"/>
      <c r="H882" s="6"/>
      <c r="I882" s="14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16"/>
      <c r="B883" s="17"/>
      <c r="C883" s="6"/>
      <c r="D883" s="6"/>
      <c r="E883" s="6"/>
      <c r="F883" s="6"/>
      <c r="G883" s="6"/>
      <c r="H883" s="6"/>
      <c r="I883" s="14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16"/>
      <c r="B884" s="17"/>
      <c r="C884" s="6"/>
      <c r="D884" s="6"/>
      <c r="E884" s="6"/>
      <c r="F884" s="6"/>
      <c r="G884" s="6"/>
      <c r="H884" s="6"/>
      <c r="I884" s="14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16"/>
      <c r="B885" s="17"/>
      <c r="C885" s="6"/>
      <c r="D885" s="6"/>
      <c r="E885" s="6"/>
      <c r="F885" s="6"/>
      <c r="G885" s="6"/>
      <c r="H885" s="6"/>
      <c r="I885" s="14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16"/>
      <c r="B886" s="17"/>
      <c r="C886" s="6"/>
      <c r="D886" s="6"/>
      <c r="E886" s="6"/>
      <c r="F886" s="6"/>
      <c r="G886" s="6"/>
      <c r="H886" s="6"/>
      <c r="I886" s="14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16"/>
      <c r="B887" s="17"/>
      <c r="C887" s="6"/>
      <c r="D887" s="6"/>
      <c r="E887" s="6"/>
      <c r="F887" s="6"/>
      <c r="G887" s="6"/>
      <c r="H887" s="6"/>
      <c r="I887" s="14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16"/>
      <c r="B888" s="17"/>
      <c r="C888" s="6"/>
      <c r="D888" s="6"/>
      <c r="E888" s="6"/>
      <c r="F888" s="6"/>
      <c r="G888" s="6"/>
      <c r="H888" s="6"/>
      <c r="I888" s="14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16"/>
      <c r="B889" s="17"/>
      <c r="C889" s="6"/>
      <c r="D889" s="6"/>
      <c r="E889" s="6"/>
      <c r="F889" s="6"/>
      <c r="G889" s="6"/>
      <c r="H889" s="6"/>
      <c r="I889" s="14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16"/>
      <c r="B890" s="17"/>
      <c r="C890" s="6"/>
      <c r="D890" s="6"/>
      <c r="E890" s="6"/>
      <c r="F890" s="6"/>
      <c r="G890" s="6"/>
      <c r="H890" s="6"/>
      <c r="I890" s="14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16"/>
      <c r="B891" s="17"/>
      <c r="C891" s="6"/>
      <c r="D891" s="6"/>
      <c r="E891" s="6"/>
      <c r="F891" s="6"/>
      <c r="G891" s="6"/>
      <c r="H891" s="6"/>
      <c r="I891" s="14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16"/>
      <c r="B892" s="17"/>
      <c r="C892" s="6"/>
      <c r="D892" s="6"/>
      <c r="E892" s="6"/>
      <c r="F892" s="6"/>
      <c r="G892" s="6"/>
      <c r="H892" s="6"/>
      <c r="I892" s="14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16"/>
      <c r="B893" s="17"/>
      <c r="C893" s="6"/>
      <c r="D893" s="6"/>
      <c r="E893" s="6"/>
      <c r="F893" s="6"/>
      <c r="G893" s="6"/>
      <c r="H893" s="6"/>
      <c r="I893" s="14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16"/>
      <c r="B894" s="17"/>
      <c r="C894" s="6"/>
      <c r="D894" s="6"/>
      <c r="E894" s="6"/>
      <c r="F894" s="6"/>
      <c r="G894" s="6"/>
      <c r="H894" s="6"/>
      <c r="I894" s="14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16"/>
      <c r="B895" s="17"/>
      <c r="C895" s="6"/>
      <c r="D895" s="6"/>
      <c r="E895" s="6"/>
      <c r="F895" s="6"/>
      <c r="G895" s="6"/>
      <c r="H895" s="6"/>
      <c r="I895" s="14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16"/>
      <c r="B896" s="17"/>
      <c r="C896" s="6"/>
      <c r="D896" s="6"/>
      <c r="E896" s="6"/>
      <c r="F896" s="6"/>
      <c r="G896" s="6"/>
      <c r="H896" s="6"/>
      <c r="I896" s="14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16"/>
      <c r="B897" s="17"/>
      <c r="C897" s="6"/>
      <c r="D897" s="6"/>
      <c r="E897" s="6"/>
      <c r="F897" s="6"/>
      <c r="G897" s="6"/>
      <c r="H897" s="6"/>
      <c r="I897" s="14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16"/>
      <c r="B898" s="17"/>
      <c r="C898" s="6"/>
      <c r="D898" s="6"/>
      <c r="E898" s="6"/>
      <c r="F898" s="6"/>
      <c r="G898" s="6"/>
      <c r="H898" s="6"/>
      <c r="I898" s="14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16"/>
      <c r="B899" s="17"/>
      <c r="C899" s="6"/>
      <c r="D899" s="6"/>
      <c r="E899" s="6"/>
      <c r="F899" s="6"/>
      <c r="G899" s="6"/>
      <c r="H899" s="6"/>
      <c r="I899" s="14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16"/>
      <c r="B900" s="17"/>
      <c r="C900" s="6"/>
      <c r="D900" s="6"/>
      <c r="E900" s="6"/>
      <c r="F900" s="6"/>
      <c r="G900" s="6"/>
      <c r="H900" s="6"/>
      <c r="I900" s="14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16"/>
      <c r="B901" s="17"/>
      <c r="C901" s="6"/>
      <c r="D901" s="6"/>
      <c r="E901" s="6"/>
      <c r="F901" s="6"/>
      <c r="G901" s="6"/>
      <c r="H901" s="6"/>
      <c r="I901" s="14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16"/>
      <c r="B902" s="17"/>
      <c r="C902" s="6"/>
      <c r="D902" s="6"/>
      <c r="E902" s="6"/>
      <c r="F902" s="6"/>
      <c r="G902" s="6"/>
      <c r="H902" s="6"/>
      <c r="I902" s="14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16"/>
      <c r="B903" s="17"/>
      <c r="C903" s="6"/>
      <c r="D903" s="6"/>
      <c r="E903" s="6"/>
      <c r="F903" s="6"/>
      <c r="G903" s="6"/>
      <c r="H903" s="6"/>
      <c r="I903" s="14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16"/>
      <c r="B904" s="17"/>
      <c r="C904" s="6"/>
      <c r="D904" s="6"/>
      <c r="E904" s="6"/>
      <c r="F904" s="6"/>
      <c r="G904" s="6"/>
      <c r="H904" s="6"/>
      <c r="I904" s="14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16"/>
      <c r="B905" s="17"/>
      <c r="C905" s="6"/>
      <c r="D905" s="6"/>
      <c r="E905" s="6"/>
      <c r="F905" s="6"/>
      <c r="G905" s="6"/>
      <c r="H905" s="6"/>
      <c r="I905" s="14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16"/>
      <c r="B906" s="17"/>
      <c r="C906" s="6"/>
      <c r="D906" s="6"/>
      <c r="E906" s="6"/>
      <c r="F906" s="6"/>
      <c r="G906" s="6"/>
      <c r="H906" s="6"/>
      <c r="I906" s="14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16"/>
      <c r="B907" s="17"/>
      <c r="C907" s="6"/>
      <c r="D907" s="6"/>
      <c r="E907" s="6"/>
      <c r="F907" s="6"/>
      <c r="G907" s="6"/>
      <c r="H907" s="6"/>
      <c r="I907" s="14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16"/>
      <c r="B908" s="17"/>
      <c r="C908" s="6"/>
      <c r="D908" s="6"/>
      <c r="E908" s="6"/>
      <c r="F908" s="6"/>
      <c r="G908" s="6"/>
      <c r="H908" s="6"/>
      <c r="I908" s="14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16"/>
      <c r="B909" s="17"/>
      <c r="C909" s="6"/>
      <c r="D909" s="6"/>
      <c r="E909" s="6"/>
      <c r="F909" s="6"/>
      <c r="G909" s="6"/>
      <c r="H909" s="6"/>
      <c r="I909" s="14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16"/>
      <c r="B910" s="17"/>
      <c r="C910" s="6"/>
      <c r="D910" s="6"/>
      <c r="E910" s="6"/>
      <c r="F910" s="6"/>
      <c r="G910" s="6"/>
      <c r="H910" s="6"/>
      <c r="I910" s="14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16"/>
      <c r="B911" s="17"/>
      <c r="C911" s="6"/>
      <c r="D911" s="6"/>
      <c r="E911" s="6"/>
      <c r="F911" s="6"/>
      <c r="G911" s="6"/>
      <c r="H911" s="6"/>
      <c r="I911" s="14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16"/>
      <c r="B912" s="17"/>
      <c r="C912" s="6"/>
      <c r="D912" s="6"/>
      <c r="E912" s="6"/>
      <c r="F912" s="6"/>
      <c r="G912" s="6"/>
      <c r="H912" s="6"/>
      <c r="I912" s="14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16"/>
      <c r="B913" s="17"/>
      <c r="C913" s="6"/>
      <c r="D913" s="6"/>
      <c r="E913" s="6"/>
      <c r="F913" s="6"/>
      <c r="G913" s="6"/>
      <c r="H913" s="6"/>
      <c r="I913" s="14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16"/>
      <c r="B914" s="17"/>
      <c r="C914" s="6"/>
      <c r="D914" s="6"/>
      <c r="E914" s="6"/>
      <c r="F914" s="6"/>
      <c r="G914" s="6"/>
      <c r="H914" s="6"/>
      <c r="I914" s="14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16"/>
      <c r="B915" s="17"/>
      <c r="C915" s="6"/>
      <c r="D915" s="6"/>
      <c r="E915" s="6"/>
      <c r="F915" s="6"/>
      <c r="G915" s="6"/>
      <c r="H915" s="6"/>
      <c r="I915" s="14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16"/>
      <c r="B916" s="17"/>
      <c r="C916" s="6"/>
      <c r="D916" s="6"/>
      <c r="E916" s="6"/>
      <c r="F916" s="6"/>
      <c r="G916" s="6"/>
      <c r="H916" s="6"/>
      <c r="I916" s="14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16"/>
      <c r="B917" s="17"/>
      <c r="C917" s="6"/>
      <c r="D917" s="6"/>
      <c r="E917" s="6"/>
      <c r="F917" s="6"/>
      <c r="G917" s="6"/>
      <c r="H917" s="6"/>
      <c r="I917" s="14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16"/>
      <c r="B918" s="17"/>
      <c r="C918" s="6"/>
      <c r="D918" s="6"/>
      <c r="E918" s="6"/>
      <c r="F918" s="6"/>
      <c r="G918" s="6"/>
      <c r="H918" s="6"/>
      <c r="I918" s="14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16"/>
      <c r="B919" s="17"/>
      <c r="C919" s="6"/>
      <c r="D919" s="6"/>
      <c r="E919" s="6"/>
      <c r="F919" s="6"/>
      <c r="G919" s="6"/>
      <c r="H919" s="6"/>
      <c r="I919" s="14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16"/>
      <c r="B920" s="17"/>
      <c r="C920" s="6"/>
      <c r="D920" s="6"/>
      <c r="E920" s="6"/>
      <c r="F920" s="6"/>
      <c r="G920" s="6"/>
      <c r="H920" s="6"/>
      <c r="I920" s="14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16"/>
      <c r="B921" s="17"/>
      <c r="C921" s="6"/>
      <c r="D921" s="6"/>
      <c r="E921" s="6"/>
      <c r="F921" s="6"/>
      <c r="G921" s="6"/>
      <c r="H921" s="6"/>
      <c r="I921" s="14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16"/>
      <c r="B922" s="17"/>
      <c r="C922" s="6"/>
      <c r="D922" s="6"/>
      <c r="E922" s="6"/>
      <c r="F922" s="6"/>
      <c r="G922" s="6"/>
      <c r="H922" s="6"/>
      <c r="I922" s="14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16"/>
      <c r="B923" s="17"/>
      <c r="C923" s="6"/>
      <c r="D923" s="6"/>
      <c r="E923" s="6"/>
      <c r="F923" s="6"/>
      <c r="G923" s="6"/>
      <c r="H923" s="6"/>
      <c r="I923" s="14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16"/>
      <c r="B924" s="17"/>
      <c r="C924" s="6"/>
      <c r="D924" s="6"/>
      <c r="E924" s="6"/>
      <c r="F924" s="6"/>
      <c r="G924" s="6"/>
      <c r="H924" s="6"/>
      <c r="I924" s="14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16"/>
      <c r="B925" s="17"/>
      <c r="C925" s="6"/>
      <c r="D925" s="6"/>
      <c r="E925" s="6"/>
      <c r="F925" s="6"/>
      <c r="G925" s="6"/>
      <c r="H925" s="6"/>
      <c r="I925" s="14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16"/>
      <c r="B926" s="17"/>
      <c r="C926" s="6"/>
      <c r="D926" s="6"/>
      <c r="E926" s="6"/>
      <c r="F926" s="6"/>
      <c r="G926" s="6"/>
      <c r="H926" s="6"/>
      <c r="I926" s="14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16"/>
      <c r="B927" s="17"/>
      <c r="C927" s="6"/>
      <c r="D927" s="6"/>
      <c r="E927" s="6"/>
      <c r="F927" s="6"/>
      <c r="G927" s="6"/>
      <c r="H927" s="6"/>
      <c r="I927" s="14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16"/>
      <c r="B928" s="17"/>
      <c r="C928" s="6"/>
      <c r="D928" s="6"/>
      <c r="E928" s="6"/>
      <c r="F928" s="6"/>
      <c r="G928" s="6"/>
      <c r="H928" s="6"/>
      <c r="I928" s="14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16"/>
      <c r="B929" s="17"/>
      <c r="C929" s="6"/>
      <c r="D929" s="6"/>
      <c r="E929" s="6"/>
      <c r="F929" s="6"/>
      <c r="G929" s="6"/>
      <c r="H929" s="6"/>
      <c r="I929" s="14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16"/>
      <c r="B930" s="17"/>
      <c r="C930" s="6"/>
      <c r="D930" s="6"/>
      <c r="E930" s="6"/>
      <c r="F930" s="6"/>
      <c r="G930" s="6"/>
      <c r="H930" s="6"/>
      <c r="I930" s="14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16"/>
      <c r="B931" s="17"/>
      <c r="C931" s="6"/>
      <c r="D931" s="6"/>
      <c r="E931" s="6"/>
      <c r="F931" s="6"/>
      <c r="G931" s="6"/>
      <c r="H931" s="6"/>
      <c r="I931" s="14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16"/>
      <c r="B932" s="17"/>
      <c r="C932" s="6"/>
      <c r="D932" s="6"/>
      <c r="E932" s="6"/>
      <c r="F932" s="6"/>
      <c r="G932" s="6"/>
      <c r="H932" s="6"/>
      <c r="I932" s="14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16"/>
      <c r="B933" s="17"/>
      <c r="C933" s="6"/>
      <c r="D933" s="6"/>
      <c r="E933" s="6"/>
      <c r="F933" s="6"/>
      <c r="G933" s="6"/>
      <c r="H933" s="6"/>
      <c r="I933" s="14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16"/>
      <c r="B934" s="17"/>
      <c r="C934" s="6"/>
      <c r="D934" s="6"/>
      <c r="E934" s="6"/>
      <c r="F934" s="6"/>
      <c r="G934" s="6"/>
      <c r="H934" s="6"/>
      <c r="I934" s="14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16"/>
      <c r="B935" s="17"/>
      <c r="C935" s="6"/>
      <c r="D935" s="6"/>
      <c r="E935" s="6"/>
      <c r="F935" s="6"/>
      <c r="G935" s="6"/>
      <c r="H935" s="6"/>
      <c r="I935" s="14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16"/>
      <c r="B936" s="17"/>
      <c r="C936" s="6"/>
      <c r="D936" s="6"/>
      <c r="E936" s="6"/>
      <c r="F936" s="6"/>
      <c r="G936" s="6"/>
      <c r="H936" s="6"/>
      <c r="I936" s="14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16"/>
      <c r="B937" s="17"/>
      <c r="C937" s="6"/>
      <c r="D937" s="6"/>
      <c r="E937" s="6"/>
      <c r="F937" s="6"/>
      <c r="G937" s="6"/>
      <c r="H937" s="6"/>
      <c r="I937" s="14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16"/>
      <c r="B938" s="17"/>
      <c r="C938" s="6"/>
      <c r="D938" s="6"/>
      <c r="E938" s="6"/>
      <c r="F938" s="6"/>
      <c r="G938" s="6"/>
      <c r="H938" s="6"/>
      <c r="I938" s="14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16"/>
      <c r="B939" s="17"/>
      <c r="C939" s="6"/>
      <c r="D939" s="6"/>
      <c r="E939" s="6"/>
      <c r="F939" s="6"/>
      <c r="G939" s="6"/>
      <c r="H939" s="6"/>
      <c r="I939" s="14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16"/>
      <c r="B940" s="17"/>
      <c r="C940" s="6"/>
      <c r="D940" s="6"/>
      <c r="E940" s="6"/>
      <c r="F940" s="6"/>
      <c r="G940" s="6"/>
      <c r="H940" s="6"/>
      <c r="I940" s="14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16"/>
      <c r="B941" s="17"/>
      <c r="C941" s="6"/>
      <c r="D941" s="6"/>
      <c r="E941" s="6"/>
      <c r="F941" s="6"/>
      <c r="G941" s="6"/>
      <c r="H941" s="6"/>
      <c r="I941" s="14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16"/>
      <c r="B942" s="17"/>
      <c r="C942" s="6"/>
      <c r="D942" s="6"/>
      <c r="E942" s="6"/>
      <c r="F942" s="6"/>
      <c r="G942" s="6"/>
      <c r="H942" s="6"/>
      <c r="I942" s="14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16"/>
      <c r="B943" s="17"/>
      <c r="C943" s="6"/>
      <c r="D943" s="6"/>
      <c r="E943" s="6"/>
      <c r="F943" s="6"/>
      <c r="G943" s="6"/>
      <c r="H943" s="6"/>
      <c r="I943" s="14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16"/>
      <c r="B944" s="17"/>
      <c r="C944" s="6"/>
      <c r="D944" s="6"/>
      <c r="E944" s="6"/>
      <c r="F944" s="6"/>
      <c r="G944" s="6"/>
      <c r="H944" s="6"/>
      <c r="I944" s="14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16"/>
      <c r="B945" s="17"/>
      <c r="C945" s="6"/>
      <c r="D945" s="6"/>
      <c r="E945" s="6"/>
      <c r="F945" s="6"/>
      <c r="G945" s="6"/>
      <c r="H945" s="6"/>
      <c r="I945" s="14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16"/>
      <c r="B946" s="17"/>
      <c r="C946" s="6"/>
      <c r="D946" s="6"/>
      <c r="E946" s="6"/>
      <c r="F946" s="6"/>
      <c r="G946" s="6"/>
      <c r="H946" s="6"/>
      <c r="I946" s="14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16"/>
      <c r="B947" s="17"/>
      <c r="C947" s="6"/>
      <c r="D947" s="6"/>
      <c r="E947" s="6"/>
      <c r="F947" s="6"/>
      <c r="G947" s="6"/>
      <c r="H947" s="6"/>
      <c r="I947" s="14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16"/>
      <c r="B948" s="17"/>
      <c r="C948" s="6"/>
      <c r="D948" s="6"/>
      <c r="E948" s="6"/>
      <c r="F948" s="6"/>
      <c r="G948" s="6"/>
      <c r="H948" s="6"/>
      <c r="I948" s="14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16"/>
      <c r="B949" s="17"/>
      <c r="C949" s="6"/>
      <c r="D949" s="6"/>
      <c r="E949" s="6"/>
      <c r="F949" s="6"/>
      <c r="G949" s="6"/>
      <c r="H949" s="6"/>
      <c r="I949" s="14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16"/>
      <c r="B950" s="17"/>
      <c r="C950" s="6"/>
      <c r="D950" s="6"/>
      <c r="E950" s="6"/>
      <c r="F950" s="6"/>
      <c r="G950" s="6"/>
      <c r="H950" s="6"/>
      <c r="I950" s="14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16"/>
      <c r="B951" s="17"/>
      <c r="C951" s="6"/>
      <c r="D951" s="6"/>
      <c r="E951" s="6"/>
      <c r="F951" s="6"/>
      <c r="G951" s="6"/>
      <c r="H951" s="6"/>
      <c r="I951" s="14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16"/>
      <c r="B952" s="17"/>
      <c r="C952" s="6"/>
      <c r="D952" s="6"/>
      <c r="E952" s="6"/>
      <c r="F952" s="6"/>
      <c r="G952" s="6"/>
      <c r="H952" s="6"/>
      <c r="I952" s="14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16"/>
      <c r="B953" s="17"/>
      <c r="C953" s="6"/>
      <c r="D953" s="6"/>
      <c r="E953" s="6"/>
      <c r="F953" s="6"/>
      <c r="G953" s="6"/>
      <c r="H953" s="6"/>
      <c r="I953" s="14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16"/>
      <c r="B954" s="17"/>
      <c r="C954" s="6"/>
      <c r="D954" s="6"/>
      <c r="E954" s="6"/>
      <c r="F954" s="6"/>
      <c r="G954" s="6"/>
      <c r="H954" s="6"/>
      <c r="I954" s="14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16"/>
      <c r="B955" s="17"/>
      <c r="C955" s="6"/>
      <c r="D955" s="6"/>
      <c r="E955" s="6"/>
      <c r="F955" s="6"/>
      <c r="G955" s="6"/>
      <c r="H955" s="6"/>
      <c r="I955" s="14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16"/>
      <c r="B956" s="17"/>
      <c r="C956" s="6"/>
      <c r="D956" s="6"/>
      <c r="E956" s="6"/>
      <c r="F956" s="6"/>
      <c r="G956" s="6"/>
      <c r="H956" s="6"/>
      <c r="I956" s="14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16"/>
      <c r="B957" s="17"/>
      <c r="C957" s="6"/>
      <c r="D957" s="6"/>
      <c r="E957" s="6"/>
      <c r="F957" s="6"/>
      <c r="G957" s="6"/>
      <c r="H957" s="6"/>
      <c r="I957" s="14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16"/>
      <c r="B958" s="17"/>
      <c r="C958" s="6"/>
      <c r="D958" s="6"/>
      <c r="E958" s="6"/>
      <c r="F958" s="6"/>
      <c r="G958" s="6"/>
      <c r="H958" s="6"/>
      <c r="I958" s="14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16"/>
      <c r="B959" s="17"/>
      <c r="C959" s="6"/>
      <c r="D959" s="6"/>
      <c r="E959" s="6"/>
      <c r="F959" s="6"/>
      <c r="G959" s="6"/>
      <c r="H959" s="6"/>
      <c r="I959" s="14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16"/>
      <c r="B960" s="17"/>
      <c r="C960" s="6"/>
      <c r="D960" s="6"/>
      <c r="E960" s="6"/>
      <c r="F960" s="6"/>
      <c r="G960" s="6"/>
      <c r="H960" s="6"/>
      <c r="I960" s="14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16"/>
      <c r="B961" s="17"/>
      <c r="C961" s="6"/>
      <c r="D961" s="6"/>
      <c r="E961" s="6"/>
      <c r="F961" s="6"/>
      <c r="G961" s="6"/>
      <c r="H961" s="6"/>
      <c r="I961" s="14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16"/>
      <c r="B962" s="17"/>
      <c r="C962" s="6"/>
      <c r="D962" s="6"/>
      <c r="E962" s="6"/>
      <c r="F962" s="6"/>
      <c r="G962" s="6"/>
      <c r="H962" s="6"/>
      <c r="I962" s="14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16"/>
      <c r="B963" s="17"/>
      <c r="C963" s="6"/>
      <c r="D963" s="6"/>
      <c r="E963" s="6"/>
      <c r="F963" s="6"/>
      <c r="G963" s="6"/>
      <c r="H963" s="6"/>
      <c r="I963" s="14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16"/>
      <c r="B964" s="17"/>
      <c r="C964" s="6"/>
      <c r="D964" s="6"/>
      <c r="E964" s="6"/>
      <c r="F964" s="6"/>
      <c r="G964" s="6"/>
      <c r="H964" s="6"/>
      <c r="I964" s="14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16"/>
      <c r="B965" s="17"/>
      <c r="C965" s="6"/>
      <c r="D965" s="6"/>
      <c r="E965" s="6"/>
      <c r="F965" s="6"/>
      <c r="G965" s="6"/>
      <c r="H965" s="6"/>
      <c r="I965" s="14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16"/>
      <c r="B966" s="17"/>
      <c r="C966" s="6"/>
      <c r="D966" s="6"/>
      <c r="E966" s="6"/>
      <c r="F966" s="6"/>
      <c r="G966" s="6"/>
      <c r="H966" s="6"/>
      <c r="I966" s="14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16"/>
      <c r="B967" s="17"/>
      <c r="C967" s="6"/>
      <c r="D967" s="6"/>
      <c r="E967" s="6"/>
      <c r="F967" s="6"/>
      <c r="G967" s="6"/>
      <c r="H967" s="6"/>
      <c r="I967" s="14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16"/>
      <c r="B968" s="17"/>
      <c r="C968" s="6"/>
      <c r="D968" s="6"/>
      <c r="E968" s="6"/>
      <c r="F968" s="6"/>
      <c r="G968" s="6"/>
      <c r="H968" s="6"/>
      <c r="I968" s="14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16"/>
      <c r="B969" s="17"/>
      <c r="C969" s="6"/>
      <c r="D969" s="6"/>
      <c r="E969" s="6"/>
      <c r="F969" s="6"/>
      <c r="G969" s="6"/>
      <c r="H969" s="6"/>
      <c r="I969" s="14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16"/>
      <c r="B970" s="17"/>
      <c r="C970" s="6"/>
      <c r="D970" s="6"/>
      <c r="E970" s="6"/>
      <c r="F970" s="6"/>
      <c r="G970" s="6"/>
      <c r="H970" s="6"/>
      <c r="I970" s="14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16"/>
      <c r="B971" s="17"/>
      <c r="C971" s="6"/>
      <c r="D971" s="6"/>
      <c r="E971" s="6"/>
      <c r="F971" s="6"/>
      <c r="G971" s="6"/>
      <c r="H971" s="6"/>
      <c r="I971" s="14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16"/>
      <c r="B972" s="17"/>
      <c r="C972" s="6"/>
      <c r="D972" s="6"/>
      <c r="E972" s="6"/>
      <c r="F972" s="6"/>
      <c r="G972" s="6"/>
      <c r="H972" s="6"/>
      <c r="I972" s="14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16"/>
      <c r="B973" s="17"/>
      <c r="C973" s="6"/>
      <c r="D973" s="6"/>
      <c r="E973" s="6"/>
      <c r="F973" s="6"/>
      <c r="G973" s="6"/>
      <c r="H973" s="6"/>
      <c r="I973" s="14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16"/>
      <c r="B974" s="17"/>
      <c r="C974" s="6"/>
      <c r="D974" s="6"/>
      <c r="E974" s="6"/>
      <c r="F974" s="6"/>
      <c r="G974" s="6"/>
      <c r="H974" s="6"/>
      <c r="I974" s="14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16"/>
      <c r="B975" s="17"/>
      <c r="C975" s="6"/>
      <c r="D975" s="6"/>
      <c r="E975" s="6"/>
      <c r="F975" s="6"/>
      <c r="G975" s="6"/>
      <c r="H975" s="6"/>
      <c r="I975" s="14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16"/>
      <c r="B976" s="17"/>
      <c r="C976" s="6"/>
      <c r="D976" s="6"/>
      <c r="E976" s="6"/>
      <c r="F976" s="6"/>
      <c r="G976" s="6"/>
      <c r="H976" s="6"/>
      <c r="I976" s="14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16"/>
      <c r="B977" s="17"/>
      <c r="C977" s="6"/>
      <c r="D977" s="6"/>
      <c r="E977" s="6"/>
      <c r="F977" s="6"/>
      <c r="G977" s="6"/>
      <c r="H977" s="6"/>
      <c r="I977" s="14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16"/>
      <c r="B978" s="17"/>
      <c r="C978" s="6"/>
      <c r="D978" s="6"/>
      <c r="E978" s="6"/>
      <c r="F978" s="6"/>
      <c r="G978" s="6"/>
      <c r="H978" s="6"/>
      <c r="I978" s="14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16"/>
      <c r="B979" s="17"/>
      <c r="C979" s="6"/>
      <c r="D979" s="6"/>
      <c r="E979" s="6"/>
      <c r="F979" s="6"/>
      <c r="G979" s="6"/>
      <c r="H979" s="6"/>
      <c r="I979" s="14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16"/>
      <c r="B980" s="17"/>
      <c r="C980" s="6"/>
      <c r="D980" s="6"/>
      <c r="E980" s="6"/>
      <c r="F980" s="6"/>
      <c r="G980" s="6"/>
      <c r="H980" s="6"/>
      <c r="I980" s="14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16"/>
      <c r="B981" s="17"/>
      <c r="C981" s="6"/>
      <c r="D981" s="6"/>
      <c r="E981" s="6"/>
      <c r="F981" s="6"/>
      <c r="G981" s="6"/>
      <c r="H981" s="6"/>
      <c r="I981" s="14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16"/>
      <c r="B982" s="17"/>
      <c r="C982" s="6"/>
      <c r="D982" s="6"/>
      <c r="E982" s="6"/>
      <c r="F982" s="6"/>
      <c r="G982" s="6"/>
      <c r="H982" s="6"/>
      <c r="I982" s="14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16"/>
      <c r="B983" s="17"/>
      <c r="C983" s="6"/>
      <c r="D983" s="6"/>
      <c r="E983" s="6"/>
      <c r="F983" s="6"/>
      <c r="G983" s="6"/>
      <c r="H983" s="6"/>
      <c r="I983" s="14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16"/>
      <c r="B984" s="17"/>
      <c r="C984" s="6"/>
      <c r="D984" s="6"/>
      <c r="E984" s="6"/>
      <c r="F984" s="6"/>
      <c r="G984" s="6"/>
      <c r="H984" s="6"/>
      <c r="I984" s="14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16"/>
      <c r="B985" s="17"/>
      <c r="C985" s="6"/>
      <c r="D985" s="6"/>
      <c r="E985" s="6"/>
      <c r="F985" s="6"/>
      <c r="G985" s="6"/>
      <c r="H985" s="6"/>
      <c r="I985" s="14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16"/>
      <c r="B986" s="17"/>
      <c r="C986" s="6"/>
      <c r="D986" s="6"/>
      <c r="E986" s="6"/>
      <c r="F986" s="6"/>
      <c r="G986" s="6"/>
      <c r="H986" s="6"/>
      <c r="I986" s="14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16"/>
      <c r="B987" s="17"/>
      <c r="C987" s="6"/>
      <c r="D987" s="6"/>
      <c r="E987" s="6"/>
      <c r="F987" s="6"/>
      <c r="G987" s="6"/>
      <c r="H987" s="6"/>
      <c r="I987" s="14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16"/>
      <c r="B988" s="17"/>
      <c r="C988" s="6"/>
      <c r="D988" s="6"/>
      <c r="E988" s="6"/>
      <c r="F988" s="6"/>
      <c r="G988" s="6"/>
      <c r="H988" s="6"/>
      <c r="I988" s="14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16"/>
      <c r="B989" s="17"/>
      <c r="C989" s="6"/>
      <c r="D989" s="6"/>
      <c r="E989" s="6"/>
      <c r="F989" s="6"/>
      <c r="G989" s="6"/>
      <c r="H989" s="6"/>
      <c r="I989" s="14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16"/>
      <c r="B990" s="17"/>
      <c r="C990" s="6"/>
      <c r="D990" s="6"/>
      <c r="E990" s="6"/>
      <c r="F990" s="6"/>
      <c r="G990" s="6"/>
      <c r="H990" s="6"/>
      <c r="I990" s="14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16"/>
      <c r="B991" s="17"/>
      <c r="C991" s="6"/>
      <c r="D991" s="6"/>
      <c r="E991" s="6"/>
      <c r="F991" s="6"/>
      <c r="G991" s="6"/>
      <c r="H991" s="6"/>
      <c r="I991" s="14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16"/>
      <c r="B992" s="17"/>
      <c r="C992" s="6"/>
      <c r="D992" s="6"/>
      <c r="E992" s="6"/>
      <c r="F992" s="6"/>
      <c r="G992" s="6"/>
      <c r="H992" s="6"/>
      <c r="I992" s="14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16"/>
      <c r="B993" s="17"/>
      <c r="C993" s="6"/>
      <c r="D993" s="6"/>
      <c r="E993" s="6"/>
      <c r="F993" s="6"/>
      <c r="G993" s="6"/>
      <c r="H993" s="6"/>
      <c r="I993" s="14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16"/>
      <c r="B994" s="17"/>
      <c r="C994" s="6"/>
      <c r="D994" s="6"/>
      <c r="E994" s="6"/>
      <c r="F994" s="6"/>
      <c r="G994" s="6"/>
      <c r="H994" s="6"/>
      <c r="I994" s="14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16"/>
      <c r="B995" s="17"/>
      <c r="C995" s="6"/>
      <c r="D995" s="6"/>
      <c r="E995" s="6"/>
      <c r="F995" s="6"/>
      <c r="G995" s="6"/>
      <c r="H995" s="6"/>
      <c r="I995" s="14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16"/>
      <c r="B996" s="17"/>
      <c r="C996" s="6"/>
      <c r="D996" s="6"/>
      <c r="E996" s="6"/>
      <c r="F996" s="6"/>
      <c r="G996" s="6"/>
      <c r="H996" s="6"/>
      <c r="I996" s="14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16"/>
      <c r="B997" s="17"/>
      <c r="C997" s="6"/>
      <c r="D997" s="6"/>
      <c r="E997" s="6"/>
      <c r="F997" s="6"/>
      <c r="G997" s="6"/>
      <c r="H997" s="6"/>
      <c r="I997" s="14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16"/>
      <c r="B998" s="17"/>
      <c r="C998" s="6"/>
      <c r="D998" s="6"/>
      <c r="E998" s="6"/>
      <c r="F998" s="6"/>
      <c r="G998" s="6"/>
      <c r="H998" s="6"/>
      <c r="I998" s="14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16"/>
      <c r="B999" s="17"/>
      <c r="C999" s="6"/>
      <c r="D999" s="6"/>
      <c r="E999" s="6"/>
      <c r="F999" s="6"/>
      <c r="G999" s="6"/>
      <c r="H999" s="6"/>
      <c r="I999" s="14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16"/>
      <c r="B1000" s="17"/>
      <c r="C1000" s="6"/>
      <c r="D1000" s="6"/>
      <c r="E1000" s="6"/>
      <c r="F1000" s="6"/>
      <c r="G1000" s="6"/>
      <c r="H1000" s="6"/>
      <c r="I1000" s="14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74.88"/>
    <col customWidth="1" min="2" max="3" width="18.0"/>
  </cols>
  <sheetData>
    <row r="1">
      <c r="A1" s="2" t="s">
        <v>1</v>
      </c>
      <c r="B1" s="8">
        <f>sum(Sales!J2:J301)</f>
        <v>88015803</v>
      </c>
      <c r="C1" s="9"/>
      <c r="D1" s="6"/>
      <c r="E1" s="6"/>
      <c r="F1" s="6"/>
      <c r="G1" s="6"/>
      <c r="H1" s="6"/>
      <c r="I1" s="6"/>
      <c r="J1" s="6"/>
      <c r="K1" s="6"/>
    </row>
    <row r="2">
      <c r="A2" s="10"/>
      <c r="B2" s="10"/>
      <c r="C2" s="9"/>
      <c r="D2" s="6"/>
      <c r="E2" s="6"/>
      <c r="F2" s="6"/>
      <c r="G2" s="6"/>
      <c r="H2" s="6"/>
      <c r="I2" s="6"/>
      <c r="J2" s="6"/>
      <c r="K2" s="6"/>
    </row>
    <row r="3">
      <c r="A3" s="2" t="s">
        <v>18</v>
      </c>
      <c r="B3" s="11" t="s">
        <v>19</v>
      </c>
      <c r="C3" s="8">
        <f>SUMIF(Sales!C:C,"north",Sales!J:J)</f>
        <v>17765314</v>
      </c>
      <c r="D3" s="6"/>
      <c r="E3" s="6"/>
      <c r="F3" s="6"/>
      <c r="G3" s="6"/>
      <c r="H3" s="6"/>
      <c r="I3" s="6"/>
      <c r="J3" s="6"/>
      <c r="K3" s="6"/>
    </row>
    <row r="4">
      <c r="A4" s="10"/>
      <c r="B4" s="11" t="s">
        <v>21</v>
      </c>
      <c r="C4" s="8">
        <f>SUMIF(Sales!C:C,"east",Sales!J:J)</f>
        <v>23604410</v>
      </c>
      <c r="D4" s="6"/>
      <c r="E4" s="6"/>
      <c r="F4" s="6"/>
      <c r="G4" s="6"/>
      <c r="H4" s="6"/>
      <c r="I4" s="6"/>
      <c r="J4" s="6"/>
      <c r="K4" s="6"/>
    </row>
    <row r="5">
      <c r="A5" s="10"/>
      <c r="B5" s="11" t="s">
        <v>22</v>
      </c>
      <c r="C5" s="8">
        <f>SUMIF(Sales!C:C,"west",Sales!J:J)</f>
        <v>20271674</v>
      </c>
      <c r="D5" s="6"/>
      <c r="E5" s="6"/>
      <c r="F5" s="6"/>
      <c r="G5" s="6"/>
      <c r="H5" s="6"/>
      <c r="I5" s="6"/>
      <c r="J5" s="6"/>
      <c r="K5" s="6"/>
    </row>
    <row r="6">
      <c r="A6" s="10"/>
      <c r="B6" s="11" t="s">
        <v>24</v>
      </c>
      <c r="C6" s="8">
        <f>SUMIF(Sales!C:C,"south",Sales!J:J)</f>
        <v>26374405</v>
      </c>
      <c r="D6" s="6"/>
      <c r="E6" s="6"/>
      <c r="F6" s="6"/>
      <c r="G6" s="6"/>
      <c r="H6" s="6"/>
      <c r="I6" s="6"/>
      <c r="J6" s="6"/>
      <c r="K6" s="6"/>
    </row>
    <row r="7">
      <c r="A7" s="10"/>
      <c r="B7" s="9"/>
      <c r="C7" s="9"/>
      <c r="D7" s="6"/>
      <c r="E7" s="6"/>
      <c r="F7" s="6"/>
      <c r="G7" s="6"/>
      <c r="H7" s="6"/>
      <c r="I7" s="6"/>
      <c r="J7" s="6"/>
      <c r="K7" s="6"/>
    </row>
    <row r="8">
      <c r="A8" s="2" t="s">
        <v>28</v>
      </c>
      <c r="B8" s="8" t="str">
        <f t="array" ref="B8">INDEX(Sales!D:D,MATCH(MAX(Sales!J:J),Sales!J:J,0))</f>
        <v>Britney Siddaley</v>
      </c>
      <c r="C8" s="9"/>
      <c r="D8" s="6"/>
      <c r="E8" s="6"/>
      <c r="F8" s="6"/>
      <c r="G8" s="6"/>
      <c r="H8" s="6"/>
      <c r="I8" s="6"/>
      <c r="J8" s="6"/>
      <c r="K8" s="6"/>
    </row>
    <row r="9">
      <c r="A9" s="10"/>
      <c r="B9" s="9"/>
      <c r="C9" s="9"/>
      <c r="D9" s="6"/>
      <c r="E9" s="6"/>
      <c r="F9" s="6"/>
      <c r="G9" s="6"/>
      <c r="H9" s="6"/>
      <c r="I9" s="6"/>
      <c r="J9" s="6"/>
      <c r="K9" s="6"/>
    </row>
    <row r="10">
      <c r="A10" s="2" t="s">
        <v>36</v>
      </c>
      <c r="B10" s="8">
        <f>COUNTIF(Sales!H:H,"returned")</f>
        <v>88</v>
      </c>
      <c r="C10" s="9"/>
      <c r="D10" s="6"/>
      <c r="E10" s="6"/>
      <c r="F10" s="6"/>
      <c r="G10" s="6"/>
      <c r="H10" s="6"/>
      <c r="I10" s="6"/>
      <c r="J10" s="6"/>
      <c r="K10" s="6"/>
    </row>
    <row r="11">
      <c r="A11" s="10"/>
      <c r="B11" s="9"/>
      <c r="C11" s="9"/>
      <c r="D11" s="6"/>
      <c r="E11" s="6"/>
      <c r="F11" s="6"/>
      <c r="G11" s="6"/>
      <c r="H11" s="6"/>
      <c r="I11" s="6"/>
      <c r="J11" s="6"/>
      <c r="K11" s="6"/>
    </row>
    <row r="12">
      <c r="A12" s="2" t="s">
        <v>41</v>
      </c>
      <c r="B12" s="11" t="s">
        <v>42</v>
      </c>
      <c r="C12" s="9"/>
      <c r="D12" s="6"/>
      <c r="E12" s="6"/>
      <c r="F12" s="6"/>
      <c r="G12" s="6"/>
      <c r="H12" s="6"/>
      <c r="I12" s="6"/>
      <c r="J12" s="6"/>
      <c r="K12" s="6"/>
    </row>
    <row r="13">
      <c r="A13" s="10"/>
      <c r="B13" s="10"/>
      <c r="C13" s="9"/>
      <c r="D13" s="6"/>
      <c r="E13" s="6"/>
      <c r="F13" s="6"/>
      <c r="G13" s="6"/>
      <c r="H13" s="6"/>
      <c r="I13" s="6"/>
      <c r="J13" s="6"/>
      <c r="K13" s="6"/>
    </row>
    <row r="14">
      <c r="A14" s="2" t="s">
        <v>44</v>
      </c>
      <c r="B14" s="11" t="s">
        <v>46</v>
      </c>
      <c r="C14" s="8">
        <f>AVERAGEIF(Sales!E:E,"mobiles",Sales!J:J)</f>
        <v>294196.6893</v>
      </c>
      <c r="D14" s="6"/>
      <c r="E14" s="6"/>
      <c r="F14" s="6"/>
      <c r="G14" s="6"/>
      <c r="H14" s="6"/>
      <c r="I14" s="6"/>
      <c r="J14" s="6"/>
      <c r="K14" s="6"/>
    </row>
    <row r="15">
      <c r="A15" s="10"/>
      <c r="B15" s="11" t="s">
        <v>53</v>
      </c>
      <c r="C15" s="8">
        <f>AVERAGEIF(Sales!E:E,"accessories",Sales!J:J)</f>
        <v>257216.3858</v>
      </c>
      <c r="D15" s="6"/>
      <c r="E15" s="6"/>
      <c r="F15" s="6"/>
      <c r="G15" s="6"/>
      <c r="H15" s="6"/>
      <c r="I15" s="6"/>
      <c r="J15" s="6"/>
      <c r="K15" s="5"/>
    </row>
    <row r="16">
      <c r="A16" s="10"/>
      <c r="B16" s="11" t="s">
        <v>61</v>
      </c>
      <c r="C16" s="8">
        <f>AVERAGEIF(Sales!E:E,"laptops",Sales!J:J)</f>
        <v>357815.1857</v>
      </c>
      <c r="D16" s="6"/>
      <c r="E16" s="6"/>
      <c r="F16" s="6"/>
      <c r="G16" s="6"/>
      <c r="H16" s="6"/>
      <c r="I16" s="6"/>
      <c r="J16" s="6"/>
      <c r="K16" s="5"/>
    </row>
    <row r="17">
      <c r="A17" s="10"/>
      <c r="B17" s="9"/>
      <c r="C17" s="9"/>
      <c r="D17" s="6"/>
      <c r="E17" s="6"/>
      <c r="F17" s="6"/>
      <c r="G17" s="6"/>
      <c r="H17" s="6"/>
      <c r="I17" s="6"/>
      <c r="J17" s="6"/>
      <c r="K17" s="5"/>
    </row>
    <row r="18">
      <c r="A18" s="2" t="s">
        <v>64</v>
      </c>
      <c r="B18" s="8" t="str">
        <f t="array" ref="B18">INDEX(Sales!K:K,MATCH(MAX(SUMIF(Sales!K:K,Sales!K:K,Sales!J:J)),SUMIF(Sales!K:K,Sales!K:K,Sales!J:J),0))</f>
        <v>iPhone 15</v>
      </c>
      <c r="C18" s="9"/>
      <c r="D18" s="6"/>
      <c r="E18" s="6"/>
      <c r="F18" s="6"/>
      <c r="G18" s="6"/>
      <c r="H18" s="6"/>
      <c r="I18" s="6"/>
      <c r="J18" s="6"/>
      <c r="K18" s="5"/>
    </row>
    <row r="19">
      <c r="A19" s="10"/>
      <c r="B19" s="9"/>
      <c r="C19" s="9"/>
      <c r="D19" s="6"/>
      <c r="E19" s="6"/>
      <c r="F19" s="6"/>
      <c r="G19" s="6"/>
      <c r="H19" s="6"/>
      <c r="I19" s="6"/>
      <c r="J19" s="6"/>
      <c r="K19" s="5"/>
    </row>
    <row r="20">
      <c r="A20" s="2" t="s">
        <v>76</v>
      </c>
      <c r="B20" s="8" t="str">
        <f>Analysis!B8</f>
        <v>Britney Siddaley</v>
      </c>
      <c r="C20" s="9"/>
      <c r="D20" s="6"/>
      <c r="E20" s="6"/>
      <c r="F20" s="6"/>
      <c r="G20" s="6"/>
      <c r="H20" s="6"/>
      <c r="I20" s="6"/>
      <c r="J20" s="6"/>
      <c r="K20" s="5" t="s">
        <v>81</v>
      </c>
    </row>
    <row r="21" ht="16.5" customHeight="1">
      <c r="A21" s="10"/>
      <c r="B21" s="10"/>
      <c r="C21" s="9"/>
      <c r="D21" s="6"/>
      <c r="E21" s="6"/>
      <c r="F21" s="5"/>
      <c r="G21" s="6"/>
      <c r="H21" s="6"/>
      <c r="I21" s="6"/>
      <c r="J21" s="6"/>
      <c r="K21" s="6"/>
    </row>
    <row r="22" ht="16.5" customHeight="1">
      <c r="A22" s="2" t="s">
        <v>83</v>
      </c>
      <c r="B22" s="11" t="s">
        <v>84</v>
      </c>
      <c r="C22" s="8">
        <f>(COUNTIFS(Sales!C:C,"north",Sales!H:H,"completed")/COUNTIF(Sales!C:C,"north")*100)</f>
        <v>33.33333333</v>
      </c>
      <c r="D22" s="6"/>
      <c r="E22" s="6"/>
      <c r="F22" s="5"/>
      <c r="G22" s="6"/>
      <c r="H22" s="6"/>
      <c r="I22" s="6"/>
      <c r="J22" s="6"/>
      <c r="K22" s="6"/>
    </row>
    <row r="23">
      <c r="A23" s="10"/>
      <c r="B23" s="11" t="s">
        <v>16</v>
      </c>
      <c r="C23" s="8">
        <f>(COUNTIFS(Sales!C:C,"east",Sales!H:H,"completed")/COUNTIF(Sales!C:C,"east")*100)</f>
        <v>32.5</v>
      </c>
      <c r="D23" s="6"/>
      <c r="E23" s="6"/>
      <c r="F23" s="6"/>
      <c r="G23" s="6"/>
      <c r="H23" s="6"/>
      <c r="I23" s="6"/>
      <c r="J23" s="6"/>
      <c r="K23" s="6"/>
    </row>
    <row r="24">
      <c r="A24" s="10"/>
      <c r="B24" s="11" t="s">
        <v>22</v>
      </c>
      <c r="C24" s="8">
        <f>COUNTIFS(Sales!C:C,"West",Sales!H:H,"Completed")/COUNTIF(Sales!C:C,"West")*100</f>
        <v>31.94444444</v>
      </c>
      <c r="D24" s="6"/>
      <c r="E24" s="6"/>
      <c r="F24" s="6"/>
      <c r="G24" s="6"/>
      <c r="H24" s="6"/>
      <c r="I24" s="6"/>
      <c r="J24" s="6"/>
      <c r="K24" s="6"/>
    </row>
    <row r="25">
      <c r="A25" s="10"/>
      <c r="B25" s="11" t="s">
        <v>24</v>
      </c>
      <c r="C25" s="8">
        <f>(COUNTIFS(Sales!C:C,"south",Sales!H:H,"completed")/COUNTIF(Sales!C:C,"south")*100)</f>
        <v>27.84810127</v>
      </c>
      <c r="D25" s="6"/>
      <c r="E25" s="6"/>
      <c r="F25" s="6"/>
      <c r="G25" s="6"/>
      <c r="H25" s="6"/>
      <c r="I25" s="6"/>
      <c r="J25" s="6"/>
      <c r="K25" s="6"/>
    </row>
    <row r="26">
      <c r="A26" s="10"/>
      <c r="B26" s="9"/>
      <c r="C26" s="9"/>
      <c r="D26" s="6"/>
      <c r="E26" s="6"/>
      <c r="F26" s="6"/>
      <c r="G26" s="6"/>
      <c r="H26" s="6"/>
      <c r="I26" s="6"/>
      <c r="J26" s="6"/>
      <c r="K26" s="6"/>
    </row>
    <row r="27">
      <c r="A27" s="2" t="s">
        <v>110</v>
      </c>
      <c r="B27" s="8" t="str">
        <f t="array" ref="B27">INDEX(Sales!K:K,MATCH(MAX(COUNTIF(Sales!K:K,Sales!K:K)),COUNTIF(Sales!K:K,Sales!K:K),0))</f>
        <v>iPhone 15</v>
      </c>
      <c r="C27" s="9"/>
      <c r="D27" s="6"/>
      <c r="E27" s="6"/>
      <c r="F27" s="6"/>
      <c r="G27" s="6"/>
      <c r="H27" s="6"/>
      <c r="I27" s="6"/>
      <c r="J27" s="6"/>
      <c r="K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</row>
    <row r="29">
      <c r="A29" s="6"/>
      <c r="B29" s="6"/>
      <c r="C29" s="6"/>
      <c r="D29" s="6"/>
      <c r="E29" s="5"/>
      <c r="F29" s="6"/>
      <c r="G29" s="6"/>
      <c r="H29" s="6"/>
      <c r="I29" s="6"/>
      <c r="J29" s="6"/>
      <c r="K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</row>
    <row r="1002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</row>
    <row r="1003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</row>
    <row r="1004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</row>
    <row r="1005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</row>
    <row r="1006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</row>
    <row r="1007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</row>
    <row r="1008">
      <c r="A1008" s="6"/>
      <c r="B1008" s="6"/>
      <c r="C1008" s="6"/>
      <c r="D1008" s="6"/>
      <c r="E1008" s="6"/>
      <c r="F1008" s="6"/>
      <c r="G1008" s="6"/>
      <c r="H1008" s="6"/>
      <c r="I1008" s="6"/>
      <c r="J1008" s="6"/>
      <c r="K1008" s="6"/>
    </row>
    <row r="1009">
      <c r="A1009" s="6"/>
      <c r="B1009" s="6"/>
      <c r="C1009" s="6"/>
      <c r="D1009" s="6"/>
      <c r="E1009" s="6"/>
      <c r="F1009" s="6"/>
      <c r="G1009" s="6"/>
      <c r="H1009" s="6"/>
      <c r="I1009" s="6"/>
      <c r="J1009" s="6"/>
      <c r="K1009" s="6"/>
    </row>
    <row r="1010">
      <c r="A1010" s="6"/>
      <c r="B1010" s="6"/>
      <c r="C1010" s="6"/>
      <c r="D1010" s="6"/>
      <c r="E1010" s="6"/>
      <c r="F1010" s="6"/>
      <c r="G1010" s="6"/>
      <c r="H1010" s="6"/>
      <c r="I1010" s="6"/>
      <c r="J1010" s="6"/>
      <c r="K1010" s="6"/>
    </row>
    <row r="1011">
      <c r="A1011" s="6"/>
      <c r="B1011" s="6"/>
      <c r="C1011" s="6"/>
      <c r="D1011" s="6"/>
      <c r="E1011" s="6"/>
      <c r="F1011" s="6"/>
      <c r="G1011" s="6"/>
      <c r="H1011" s="6"/>
      <c r="I1011" s="6"/>
      <c r="J1011" s="6"/>
      <c r="K1011" s="6"/>
    </row>
    <row r="1012">
      <c r="A1012" s="6"/>
      <c r="B1012" s="6"/>
      <c r="C1012" s="6"/>
      <c r="D1012" s="6"/>
      <c r="E1012" s="6"/>
      <c r="F1012" s="6"/>
      <c r="G1012" s="6"/>
      <c r="H1012" s="6"/>
      <c r="I1012" s="6"/>
      <c r="J1012" s="6"/>
      <c r="K1012" s="6"/>
    </row>
    <row r="1013">
      <c r="A1013" s="6"/>
      <c r="B1013" s="6"/>
      <c r="C1013" s="6"/>
      <c r="D1013" s="6"/>
      <c r="E1013" s="6"/>
      <c r="F1013" s="6"/>
      <c r="G1013" s="6"/>
      <c r="H1013" s="6"/>
      <c r="I1013" s="6"/>
      <c r="J1013" s="6"/>
      <c r="K1013" s="6"/>
    </row>
    <row r="1014">
      <c r="A1014" s="6"/>
      <c r="B1014" s="6"/>
      <c r="C1014" s="6"/>
      <c r="D1014" s="6"/>
      <c r="E1014" s="6"/>
      <c r="F1014" s="6"/>
      <c r="G1014" s="6"/>
      <c r="H1014" s="6"/>
      <c r="I1014" s="6"/>
      <c r="J1014" s="6"/>
      <c r="K1014" s="6"/>
    </row>
    <row r="1015">
      <c r="A1015" s="6"/>
      <c r="B1015" s="6"/>
      <c r="C1015" s="6"/>
      <c r="D1015" s="6"/>
      <c r="E1015" s="6"/>
      <c r="F1015" s="6"/>
      <c r="G1015" s="6"/>
      <c r="H1015" s="6"/>
      <c r="I1015" s="6"/>
      <c r="J1015" s="6"/>
      <c r="K1015" s="6"/>
    </row>
    <row r="1016">
      <c r="A1016" s="6"/>
      <c r="B1016" s="6"/>
      <c r="C1016" s="6"/>
      <c r="D1016" s="6"/>
      <c r="E1016" s="6"/>
      <c r="F1016" s="6"/>
      <c r="G1016" s="6"/>
      <c r="H1016" s="6"/>
      <c r="I1016" s="6"/>
      <c r="J1016" s="6"/>
      <c r="K1016" s="6"/>
    </row>
    <row r="1017">
      <c r="A1017" s="6"/>
      <c r="B1017" s="6"/>
      <c r="C1017" s="6"/>
      <c r="D1017" s="6"/>
      <c r="E1017" s="6"/>
      <c r="F1017" s="6"/>
      <c r="G1017" s="6"/>
      <c r="H1017" s="6"/>
      <c r="I1017" s="6"/>
      <c r="J1017" s="6"/>
      <c r="K1017" s="6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6.13"/>
    <col customWidth="1" min="2" max="2" width="11.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>
      <c r="A15" s="6"/>
      <c r="B15" s="6"/>
      <c r="C15" s="6"/>
      <c r="D15" s="6"/>
      <c r="E15" s="6"/>
      <c r="F15" s="6"/>
      <c r="G15" s="6"/>
    </row>
    <row r="16">
      <c r="A16" s="6"/>
      <c r="B16" s="6"/>
      <c r="C16" s="6"/>
      <c r="D16" s="6"/>
      <c r="E16" s="6"/>
      <c r="F16" s="6"/>
      <c r="G16" s="6"/>
    </row>
    <row r="17">
      <c r="A17" s="6"/>
      <c r="B17" s="6"/>
      <c r="C17" s="6"/>
      <c r="D17" s="6"/>
      <c r="E17" s="6"/>
      <c r="F17" s="6"/>
      <c r="G17" s="6"/>
    </row>
    <row r="18">
      <c r="A18" s="6"/>
      <c r="B18" s="6"/>
      <c r="C18" s="6"/>
      <c r="D18" s="6"/>
      <c r="E18" s="6"/>
      <c r="F18" s="6"/>
      <c r="G18" s="6"/>
    </row>
    <row r="19">
      <c r="A19" s="6"/>
      <c r="B19" s="6"/>
      <c r="C19" s="6"/>
      <c r="D19" s="6"/>
      <c r="E19" s="6"/>
      <c r="F19" s="6"/>
      <c r="G19" s="6"/>
    </row>
    <row r="20">
      <c r="A20" s="6"/>
      <c r="B20" s="6"/>
      <c r="C20" s="6"/>
      <c r="D20" s="6"/>
      <c r="E20" s="6"/>
      <c r="F20" s="6"/>
      <c r="G20" s="6"/>
    </row>
    <row r="21">
      <c r="A21" s="6"/>
      <c r="B21" s="6"/>
      <c r="C21" s="6"/>
      <c r="D21" s="6"/>
      <c r="E21" s="6"/>
      <c r="F21" s="6"/>
      <c r="G21" s="6"/>
    </row>
    <row r="22">
      <c r="A22" s="6"/>
      <c r="B22" s="6"/>
      <c r="C22" s="6"/>
      <c r="D22" s="6"/>
      <c r="E22" s="6"/>
      <c r="F22" s="6"/>
      <c r="G22" s="6"/>
    </row>
    <row r="23">
      <c r="A23" s="6"/>
      <c r="B23" s="6"/>
      <c r="C23" s="6"/>
      <c r="D23" s="6"/>
      <c r="E23" s="6"/>
      <c r="F23" s="6"/>
      <c r="G23" s="6"/>
    </row>
    <row r="24">
      <c r="A24" s="6"/>
      <c r="B24" s="6"/>
      <c r="C24" s="6"/>
      <c r="D24" s="6"/>
      <c r="E24" s="6"/>
      <c r="F24" s="6"/>
      <c r="G24" s="6"/>
    </row>
    <row r="25">
      <c r="A25" s="6"/>
      <c r="B25" s="6"/>
      <c r="C25" s="6"/>
      <c r="D25" s="6"/>
      <c r="E25" s="6"/>
      <c r="F25" s="6"/>
      <c r="G25" s="6"/>
    </row>
    <row r="26">
      <c r="A26" s="6"/>
      <c r="B26" s="6"/>
      <c r="C26" s="6"/>
      <c r="D26" s="6"/>
      <c r="E26" s="6"/>
      <c r="F26" s="6"/>
      <c r="G26" s="6"/>
    </row>
    <row r="27">
      <c r="A27" s="6"/>
      <c r="B27" s="6"/>
      <c r="C27" s="6"/>
      <c r="D27" s="6"/>
      <c r="E27" s="6"/>
      <c r="F27" s="6"/>
      <c r="G27" s="6"/>
    </row>
    <row r="28">
      <c r="A28" s="6"/>
      <c r="B28" s="6"/>
      <c r="C28" s="6"/>
      <c r="D28" s="6"/>
      <c r="E28" s="6"/>
      <c r="F28" s="6"/>
      <c r="G28" s="6"/>
    </row>
    <row r="29">
      <c r="A29" s="6"/>
      <c r="B29" s="6"/>
      <c r="C29" s="6"/>
      <c r="D29" s="6"/>
      <c r="E29" s="6"/>
      <c r="F29" s="6"/>
      <c r="G29" s="6"/>
    </row>
    <row r="30">
      <c r="A30" s="6"/>
      <c r="B30" s="6"/>
      <c r="C30" s="6"/>
      <c r="D30" s="6"/>
      <c r="E30" s="6"/>
      <c r="F30" s="6"/>
      <c r="G30" s="6"/>
    </row>
    <row r="31">
      <c r="A31" s="6"/>
      <c r="B31" s="6"/>
      <c r="C31" s="6"/>
      <c r="D31" s="6"/>
      <c r="E31" s="6"/>
      <c r="F31" s="6"/>
      <c r="G31" s="6"/>
    </row>
    <row r="32">
      <c r="A32" s="6"/>
      <c r="B32" s="6"/>
      <c r="C32" s="6"/>
      <c r="D32" s="6"/>
      <c r="E32" s="6"/>
      <c r="F32" s="6"/>
      <c r="G32" s="6"/>
    </row>
    <row r="33">
      <c r="A33" s="6"/>
      <c r="B33" s="6"/>
      <c r="C33" s="6"/>
      <c r="D33" s="6"/>
      <c r="E33" s="6"/>
      <c r="F33" s="6"/>
      <c r="G33" s="6"/>
    </row>
    <row r="34">
      <c r="A34" s="6"/>
      <c r="B34" s="6"/>
      <c r="C34" s="6"/>
      <c r="D34" s="6"/>
      <c r="E34" s="6"/>
      <c r="F34" s="6"/>
      <c r="G34" s="6"/>
    </row>
    <row r="35">
      <c r="A35" s="6"/>
      <c r="B35" s="6"/>
      <c r="C35" s="6"/>
      <c r="D35" s="6"/>
      <c r="E35" s="6"/>
      <c r="F35" s="6"/>
      <c r="G35" s="6"/>
    </row>
    <row r="36">
      <c r="A36" s="6"/>
      <c r="B36" s="6"/>
      <c r="C36" s="6"/>
      <c r="D36" s="6"/>
      <c r="E36" s="6"/>
      <c r="F36" s="6"/>
      <c r="G36" s="6"/>
    </row>
    <row r="37">
      <c r="A37" s="6"/>
      <c r="B37" s="6"/>
      <c r="C37" s="6"/>
      <c r="D37" s="6"/>
      <c r="E37" s="6"/>
      <c r="F37" s="6"/>
      <c r="G37" s="6"/>
    </row>
    <row r="38">
      <c r="A38" s="6"/>
      <c r="B38" s="6"/>
      <c r="C38" s="6"/>
      <c r="D38" s="6"/>
      <c r="E38" s="6"/>
      <c r="F38" s="6"/>
      <c r="G38" s="6"/>
    </row>
    <row r="39">
      <c r="A39" s="6"/>
      <c r="B39" s="6"/>
      <c r="C39" s="6"/>
      <c r="D39" s="6"/>
      <c r="E39" s="6"/>
      <c r="F39" s="6"/>
      <c r="G39" s="6"/>
    </row>
    <row r="40">
      <c r="A40" s="6"/>
      <c r="B40" s="6"/>
      <c r="C40" s="6"/>
      <c r="D40" s="6"/>
      <c r="E40" s="6"/>
      <c r="F40" s="6"/>
      <c r="G40" s="6"/>
    </row>
    <row r="41">
      <c r="A41" s="6"/>
      <c r="B41" s="6"/>
      <c r="C41" s="6"/>
      <c r="D41" s="6"/>
      <c r="E41" s="6"/>
      <c r="F41" s="6"/>
      <c r="G41" s="6"/>
    </row>
    <row r="42">
      <c r="A42" s="6"/>
      <c r="B42" s="6"/>
      <c r="C42" s="6"/>
      <c r="D42" s="6"/>
      <c r="E42" s="6"/>
      <c r="F42" s="6"/>
      <c r="G42" s="6"/>
    </row>
    <row r="43">
      <c r="A43" s="6"/>
      <c r="B43" s="6"/>
      <c r="C43" s="6"/>
      <c r="D43" s="6"/>
      <c r="E43" s="6"/>
      <c r="F43" s="6"/>
      <c r="G43" s="6"/>
    </row>
    <row r="44">
      <c r="A44" s="6"/>
      <c r="B44" s="6"/>
      <c r="C44" s="6"/>
      <c r="D44" s="6"/>
      <c r="E44" s="6"/>
      <c r="F44" s="6"/>
      <c r="G44" s="6"/>
    </row>
    <row r="45">
      <c r="A45" s="6"/>
      <c r="B45" s="6"/>
      <c r="C45" s="6"/>
      <c r="D45" s="6"/>
      <c r="E45" s="6"/>
      <c r="F45" s="6"/>
      <c r="G45" s="6"/>
    </row>
    <row r="46">
      <c r="A46" s="6"/>
      <c r="B46" s="6"/>
      <c r="C46" s="6"/>
      <c r="D46" s="6"/>
      <c r="E46" s="6"/>
      <c r="F46" s="6"/>
      <c r="G46" s="6"/>
    </row>
    <row r="47">
      <c r="A47" s="6"/>
      <c r="B47" s="6"/>
      <c r="C47" s="6"/>
      <c r="D47" s="6"/>
      <c r="E47" s="6"/>
      <c r="F47" s="6"/>
      <c r="G47" s="6"/>
    </row>
    <row r="48">
      <c r="A48" s="6"/>
      <c r="B48" s="6"/>
      <c r="C48" s="6"/>
      <c r="D48" s="6"/>
      <c r="E48" s="6"/>
      <c r="F48" s="6"/>
      <c r="G48" s="6"/>
    </row>
    <row r="49">
      <c r="A49" s="6"/>
      <c r="B49" s="6"/>
      <c r="C49" s="6"/>
      <c r="D49" s="6"/>
      <c r="E49" s="6"/>
      <c r="F49" s="6"/>
      <c r="G49" s="6"/>
    </row>
    <row r="50">
      <c r="A50" s="6"/>
      <c r="B50" s="6"/>
      <c r="C50" s="6"/>
      <c r="D50" s="6"/>
      <c r="E50" s="6"/>
      <c r="F50" s="6"/>
      <c r="G50" s="6"/>
    </row>
    <row r="51">
      <c r="A51" s="6"/>
      <c r="B51" s="6"/>
      <c r="C51" s="6"/>
      <c r="D51" s="6"/>
      <c r="E51" s="6"/>
      <c r="F51" s="6"/>
      <c r="G51" s="6"/>
    </row>
    <row r="52">
      <c r="A52" s="6"/>
      <c r="B52" s="6"/>
      <c r="C52" s="6"/>
      <c r="D52" s="6"/>
      <c r="E52" s="6"/>
      <c r="F52" s="6"/>
      <c r="G52" s="6"/>
    </row>
    <row r="53">
      <c r="A53" s="6"/>
      <c r="B53" s="6"/>
      <c r="C53" s="6"/>
      <c r="D53" s="6"/>
      <c r="E53" s="6"/>
      <c r="F53" s="6"/>
      <c r="G53" s="6"/>
    </row>
    <row r="54">
      <c r="A54" s="6"/>
      <c r="B54" s="6"/>
      <c r="C54" s="6"/>
      <c r="D54" s="6"/>
      <c r="E54" s="6"/>
      <c r="F54" s="6"/>
      <c r="G54" s="6"/>
    </row>
    <row r="55">
      <c r="A55" s="6"/>
      <c r="B55" s="6"/>
      <c r="C55" s="6"/>
      <c r="D55" s="6"/>
      <c r="E55" s="6"/>
      <c r="F55" s="6"/>
      <c r="G55" s="6"/>
    </row>
    <row r="56">
      <c r="A56" s="6"/>
      <c r="B56" s="6"/>
      <c r="C56" s="6"/>
      <c r="D56" s="6"/>
      <c r="E56" s="6"/>
      <c r="F56" s="6"/>
      <c r="G56" s="6"/>
    </row>
    <row r="57">
      <c r="A57" s="6"/>
      <c r="B57" s="6"/>
      <c r="C57" s="6"/>
      <c r="D57" s="6"/>
      <c r="E57" s="6"/>
      <c r="F57" s="6"/>
      <c r="G57" s="6"/>
    </row>
    <row r="58">
      <c r="A58" s="6"/>
      <c r="B58" s="6"/>
      <c r="C58" s="6"/>
      <c r="D58" s="6"/>
      <c r="E58" s="6"/>
      <c r="F58" s="6"/>
      <c r="G58" s="6"/>
    </row>
    <row r="59">
      <c r="A59" s="6"/>
      <c r="B59" s="6"/>
      <c r="C59" s="6"/>
      <c r="D59" s="6"/>
      <c r="E59" s="6"/>
      <c r="F59" s="6"/>
      <c r="G59" s="6"/>
    </row>
    <row r="60">
      <c r="A60" s="6"/>
      <c r="B60" s="6"/>
      <c r="C60" s="6"/>
      <c r="D60" s="6"/>
      <c r="E60" s="6"/>
      <c r="F60" s="6"/>
      <c r="G60" s="6"/>
    </row>
    <row r="61">
      <c r="A61" s="6"/>
      <c r="B61" s="6"/>
      <c r="C61" s="6"/>
      <c r="D61" s="6"/>
      <c r="E61" s="6"/>
      <c r="F61" s="6"/>
      <c r="G61" s="6"/>
    </row>
    <row r="62">
      <c r="A62" s="6"/>
      <c r="B62" s="6"/>
      <c r="C62" s="6"/>
      <c r="D62" s="6"/>
      <c r="E62" s="6"/>
      <c r="F62" s="6"/>
      <c r="G62" s="6"/>
    </row>
    <row r="63">
      <c r="A63" s="6"/>
      <c r="B63" s="6"/>
      <c r="C63" s="6"/>
      <c r="D63" s="6"/>
      <c r="E63" s="6"/>
      <c r="F63" s="6"/>
      <c r="G63" s="6"/>
    </row>
    <row r="64">
      <c r="A64" s="6"/>
      <c r="B64" s="6"/>
      <c r="C64" s="6"/>
      <c r="D64" s="6"/>
      <c r="E64" s="6"/>
      <c r="F64" s="6"/>
      <c r="G64" s="6"/>
    </row>
    <row r="65">
      <c r="A65" s="6"/>
      <c r="B65" s="6"/>
      <c r="C65" s="6"/>
      <c r="D65" s="6"/>
      <c r="E65" s="6"/>
      <c r="F65" s="6"/>
      <c r="G65" s="6"/>
    </row>
    <row r="66">
      <c r="A66" s="6"/>
      <c r="B66" s="6"/>
      <c r="C66" s="6"/>
      <c r="D66" s="6"/>
      <c r="E66" s="6"/>
      <c r="F66" s="6"/>
      <c r="G66" s="6"/>
    </row>
    <row r="67">
      <c r="A67" s="6"/>
      <c r="B67" s="6"/>
      <c r="C67" s="6"/>
      <c r="D67" s="6"/>
      <c r="E67" s="6"/>
      <c r="F67" s="6"/>
      <c r="G67" s="6"/>
    </row>
    <row r="68">
      <c r="A68" s="6"/>
      <c r="B68" s="6"/>
      <c r="C68" s="6"/>
      <c r="D68" s="6"/>
      <c r="E68" s="6"/>
      <c r="F68" s="6"/>
      <c r="G68" s="6"/>
    </row>
    <row r="69">
      <c r="A69" s="6"/>
      <c r="B69" s="6"/>
      <c r="C69" s="6"/>
      <c r="D69" s="6"/>
      <c r="E69" s="6"/>
      <c r="F69" s="6"/>
      <c r="G69" s="6"/>
    </row>
    <row r="70">
      <c r="A70" s="6"/>
      <c r="B70" s="6"/>
      <c r="C70" s="6"/>
      <c r="D70" s="6"/>
      <c r="E70" s="6"/>
      <c r="F70" s="6"/>
      <c r="G70" s="6"/>
    </row>
    <row r="71">
      <c r="A71" s="6"/>
      <c r="B71" s="6"/>
      <c r="C71" s="6"/>
      <c r="D71" s="6"/>
      <c r="E71" s="6"/>
      <c r="F71" s="6"/>
      <c r="G71" s="6"/>
    </row>
    <row r="72">
      <c r="A72" s="6"/>
      <c r="B72" s="6"/>
      <c r="C72" s="6"/>
      <c r="D72" s="6"/>
      <c r="E72" s="6"/>
      <c r="F72" s="6"/>
      <c r="G72" s="6"/>
    </row>
    <row r="73">
      <c r="A73" s="6"/>
      <c r="B73" s="6"/>
      <c r="C73" s="6"/>
      <c r="D73" s="6"/>
      <c r="E73" s="6"/>
      <c r="F73" s="6"/>
      <c r="G73" s="6"/>
    </row>
    <row r="74">
      <c r="A74" s="6"/>
      <c r="B74" s="6"/>
      <c r="C74" s="6"/>
      <c r="D74" s="6"/>
      <c r="E74" s="6"/>
      <c r="F74" s="6"/>
      <c r="G74" s="6"/>
    </row>
    <row r="75">
      <c r="A75" s="6"/>
      <c r="B75" s="6"/>
      <c r="C75" s="6"/>
      <c r="D75" s="6"/>
      <c r="E75" s="6"/>
      <c r="F75" s="6"/>
      <c r="G75" s="6"/>
    </row>
    <row r="76">
      <c r="A76" s="6"/>
      <c r="B76" s="6"/>
      <c r="C76" s="6"/>
      <c r="D76" s="6"/>
      <c r="E76" s="6"/>
      <c r="F76" s="6"/>
      <c r="G76" s="6"/>
    </row>
    <row r="77">
      <c r="A77" s="6"/>
      <c r="B77" s="6"/>
      <c r="C77" s="6"/>
      <c r="D77" s="6"/>
      <c r="E77" s="6"/>
      <c r="F77" s="6"/>
      <c r="G77" s="6"/>
    </row>
    <row r="78">
      <c r="A78" s="6"/>
      <c r="B78" s="6"/>
      <c r="C78" s="6"/>
      <c r="D78" s="6"/>
      <c r="E78" s="6"/>
      <c r="F78" s="6"/>
      <c r="G78" s="6"/>
    </row>
    <row r="79">
      <c r="A79" s="6"/>
      <c r="B79" s="6"/>
      <c r="C79" s="6"/>
      <c r="D79" s="6"/>
      <c r="E79" s="6"/>
      <c r="F79" s="6"/>
      <c r="G79" s="6"/>
    </row>
    <row r="80">
      <c r="A80" s="6"/>
      <c r="B80" s="6"/>
      <c r="C80" s="6"/>
      <c r="D80" s="6"/>
      <c r="E80" s="6"/>
      <c r="F80" s="6"/>
      <c r="G80" s="6"/>
    </row>
    <row r="81">
      <c r="A81" s="6"/>
      <c r="B81" s="6"/>
      <c r="C81" s="6"/>
      <c r="D81" s="6"/>
      <c r="E81" s="6"/>
      <c r="F81" s="6"/>
      <c r="G81" s="6"/>
    </row>
    <row r="82">
      <c r="A82" s="6"/>
      <c r="B82" s="6"/>
      <c r="C82" s="6"/>
      <c r="D82" s="6"/>
      <c r="E82" s="6"/>
      <c r="F82" s="6"/>
      <c r="G82" s="6"/>
    </row>
    <row r="83">
      <c r="A83" s="6"/>
      <c r="B83" s="6"/>
      <c r="C83" s="6"/>
      <c r="D83" s="6"/>
      <c r="E83" s="6"/>
      <c r="F83" s="6"/>
      <c r="G83" s="6"/>
    </row>
    <row r="84">
      <c r="A84" s="6"/>
      <c r="B84" s="6"/>
      <c r="C84" s="6"/>
      <c r="D84" s="6"/>
      <c r="E84" s="6"/>
      <c r="F84" s="6"/>
      <c r="G84" s="6"/>
    </row>
    <row r="85">
      <c r="A85" s="6"/>
      <c r="B85" s="6"/>
      <c r="C85" s="6"/>
      <c r="D85" s="6"/>
      <c r="E85" s="6"/>
      <c r="F85" s="6"/>
      <c r="G85" s="6"/>
    </row>
    <row r="86">
      <c r="A86" s="6"/>
      <c r="B86" s="6"/>
      <c r="C86" s="6"/>
      <c r="D86" s="6"/>
      <c r="E86" s="6"/>
      <c r="F86" s="6"/>
      <c r="G86" s="6"/>
    </row>
    <row r="87">
      <c r="A87" s="6"/>
      <c r="B87" s="6"/>
      <c r="C87" s="6"/>
      <c r="D87" s="6"/>
      <c r="E87" s="6"/>
      <c r="F87" s="6"/>
      <c r="G87" s="6"/>
    </row>
    <row r="88">
      <c r="A88" s="6"/>
      <c r="B88" s="6"/>
      <c r="C88" s="6"/>
      <c r="D88" s="6"/>
      <c r="E88" s="6"/>
      <c r="F88" s="6"/>
      <c r="G88" s="6"/>
    </row>
    <row r="89">
      <c r="A89" s="6"/>
      <c r="B89" s="6"/>
      <c r="C89" s="6"/>
      <c r="D89" s="6"/>
      <c r="E89" s="6"/>
      <c r="F89" s="6"/>
      <c r="G89" s="6"/>
    </row>
    <row r="90">
      <c r="A90" s="6"/>
      <c r="B90" s="6"/>
      <c r="C90" s="6"/>
      <c r="D90" s="6"/>
      <c r="E90" s="6"/>
      <c r="F90" s="6"/>
      <c r="G90" s="6"/>
    </row>
    <row r="91">
      <c r="A91" s="6"/>
      <c r="B91" s="6"/>
      <c r="C91" s="6"/>
      <c r="D91" s="6"/>
      <c r="E91" s="6"/>
      <c r="F91" s="6"/>
      <c r="G91" s="6"/>
    </row>
    <row r="92">
      <c r="A92" s="6"/>
      <c r="B92" s="6"/>
      <c r="C92" s="6"/>
      <c r="D92" s="6"/>
      <c r="E92" s="6"/>
      <c r="F92" s="6"/>
      <c r="G92" s="6"/>
    </row>
    <row r="93">
      <c r="A93" s="6"/>
      <c r="B93" s="6"/>
      <c r="C93" s="6"/>
      <c r="D93" s="6"/>
      <c r="E93" s="6"/>
      <c r="F93" s="6"/>
      <c r="G93" s="6"/>
    </row>
    <row r="94">
      <c r="A94" s="6"/>
      <c r="B94" s="6"/>
      <c r="C94" s="6"/>
      <c r="D94" s="6"/>
      <c r="E94" s="6"/>
      <c r="F94" s="6"/>
      <c r="G94" s="6"/>
    </row>
    <row r="95">
      <c r="A95" s="6"/>
      <c r="B95" s="6"/>
      <c r="C95" s="6"/>
      <c r="D95" s="6"/>
      <c r="E95" s="6"/>
      <c r="F95" s="6"/>
      <c r="G95" s="6"/>
    </row>
    <row r="96">
      <c r="A96" s="6"/>
      <c r="B96" s="6"/>
      <c r="C96" s="6"/>
      <c r="D96" s="6"/>
      <c r="E96" s="6"/>
      <c r="F96" s="6"/>
      <c r="G96" s="6"/>
    </row>
    <row r="97">
      <c r="A97" s="6"/>
      <c r="B97" s="6"/>
      <c r="C97" s="6"/>
      <c r="D97" s="6"/>
      <c r="E97" s="6"/>
      <c r="F97" s="6"/>
      <c r="G97" s="6"/>
    </row>
    <row r="98">
      <c r="A98" s="6"/>
      <c r="B98" s="6"/>
      <c r="C98" s="6"/>
      <c r="D98" s="6"/>
      <c r="E98" s="6"/>
      <c r="F98" s="6"/>
      <c r="G98" s="6"/>
    </row>
    <row r="99">
      <c r="A99" s="6"/>
      <c r="B99" s="6"/>
      <c r="C99" s="6"/>
      <c r="D99" s="6"/>
      <c r="E99" s="6"/>
      <c r="F99" s="6"/>
      <c r="G99" s="6"/>
    </row>
    <row r="100">
      <c r="A100" s="6"/>
      <c r="B100" s="6"/>
      <c r="C100" s="6"/>
      <c r="D100" s="6"/>
      <c r="E100" s="6"/>
      <c r="F100" s="6"/>
      <c r="G100" s="6"/>
    </row>
    <row r="101">
      <c r="A101" s="6"/>
      <c r="B101" s="6"/>
      <c r="C101" s="6"/>
      <c r="D101" s="6"/>
      <c r="E101" s="6"/>
      <c r="F101" s="6"/>
      <c r="G101" s="6"/>
    </row>
    <row r="102">
      <c r="A102" s="6"/>
      <c r="B102" s="6"/>
      <c r="C102" s="6"/>
      <c r="D102" s="6"/>
      <c r="E102" s="6"/>
      <c r="F102" s="6"/>
      <c r="G102" s="6"/>
    </row>
    <row r="103">
      <c r="A103" s="6"/>
      <c r="B103" s="6"/>
      <c r="C103" s="6"/>
      <c r="D103" s="6"/>
      <c r="E103" s="6"/>
      <c r="F103" s="6"/>
      <c r="G103" s="6"/>
    </row>
    <row r="104">
      <c r="A104" s="6"/>
      <c r="B104" s="6"/>
      <c r="C104" s="6"/>
      <c r="D104" s="6"/>
      <c r="E104" s="6"/>
      <c r="F104" s="6"/>
      <c r="G104" s="6"/>
    </row>
    <row r="105">
      <c r="A105" s="6"/>
      <c r="B105" s="6"/>
      <c r="C105" s="6"/>
      <c r="D105" s="6"/>
      <c r="E105" s="6"/>
      <c r="F105" s="6"/>
      <c r="G105" s="6"/>
    </row>
    <row r="106">
      <c r="A106" s="6"/>
      <c r="B106" s="6"/>
      <c r="C106" s="6"/>
      <c r="D106" s="6"/>
      <c r="E106" s="6"/>
      <c r="F106" s="6"/>
      <c r="G106" s="6"/>
    </row>
    <row r="107">
      <c r="A107" s="6"/>
      <c r="B107" s="6"/>
      <c r="C107" s="6"/>
      <c r="D107" s="6"/>
      <c r="E107" s="6"/>
      <c r="F107" s="6"/>
      <c r="G107" s="6"/>
    </row>
    <row r="108">
      <c r="A108" s="6"/>
      <c r="B108" s="6"/>
      <c r="C108" s="6"/>
      <c r="D108" s="6"/>
      <c r="E108" s="6"/>
      <c r="F108" s="6"/>
      <c r="G108" s="6"/>
    </row>
    <row r="109">
      <c r="A109" s="6"/>
      <c r="B109" s="6"/>
      <c r="C109" s="6"/>
      <c r="D109" s="6"/>
      <c r="E109" s="6"/>
      <c r="F109" s="6"/>
      <c r="G109" s="6"/>
    </row>
    <row r="110">
      <c r="A110" s="6"/>
      <c r="B110" s="6"/>
      <c r="C110" s="6"/>
      <c r="D110" s="6"/>
      <c r="E110" s="6"/>
      <c r="F110" s="6"/>
      <c r="G110" s="6"/>
    </row>
    <row r="111">
      <c r="A111" s="6"/>
      <c r="B111" s="6"/>
      <c r="C111" s="6"/>
      <c r="D111" s="6"/>
      <c r="E111" s="6"/>
      <c r="F111" s="6"/>
      <c r="G111" s="6"/>
    </row>
    <row r="112">
      <c r="A112" s="6"/>
      <c r="B112" s="6"/>
      <c r="C112" s="6"/>
      <c r="D112" s="6"/>
      <c r="E112" s="6"/>
      <c r="F112" s="6"/>
      <c r="G112" s="6"/>
    </row>
    <row r="113">
      <c r="A113" s="6"/>
      <c r="B113" s="6"/>
      <c r="C113" s="6"/>
      <c r="D113" s="6"/>
      <c r="E113" s="6"/>
      <c r="F113" s="6"/>
      <c r="G113" s="6"/>
    </row>
    <row r="114">
      <c r="A114" s="6"/>
      <c r="B114" s="6"/>
      <c r="C114" s="6"/>
      <c r="D114" s="6"/>
      <c r="E114" s="6"/>
      <c r="F114" s="6"/>
      <c r="G114" s="6"/>
    </row>
    <row r="115">
      <c r="A115" s="6"/>
      <c r="B115" s="6"/>
      <c r="C115" s="6"/>
      <c r="D115" s="6"/>
      <c r="E115" s="6"/>
      <c r="F115" s="6"/>
      <c r="G115" s="6"/>
    </row>
    <row r="116">
      <c r="A116" s="6"/>
      <c r="B116" s="6"/>
      <c r="C116" s="6"/>
      <c r="D116" s="6"/>
      <c r="E116" s="6"/>
      <c r="F116" s="6"/>
      <c r="G116" s="6"/>
    </row>
    <row r="117">
      <c r="A117" s="6"/>
      <c r="B117" s="6"/>
      <c r="C117" s="6"/>
      <c r="D117" s="6"/>
      <c r="E117" s="6"/>
      <c r="F117" s="6"/>
      <c r="G117" s="6"/>
    </row>
    <row r="118">
      <c r="A118" s="6"/>
      <c r="B118" s="6"/>
      <c r="C118" s="6"/>
      <c r="D118" s="6"/>
      <c r="E118" s="6"/>
      <c r="F118" s="6"/>
      <c r="G118" s="6"/>
    </row>
    <row r="119">
      <c r="A119" s="6"/>
      <c r="B119" s="6"/>
      <c r="C119" s="6"/>
      <c r="D119" s="6"/>
      <c r="E119" s="6"/>
      <c r="F119" s="6"/>
      <c r="G119" s="6"/>
    </row>
    <row r="120">
      <c r="A120" s="6"/>
      <c r="B120" s="6"/>
      <c r="C120" s="6"/>
      <c r="D120" s="6"/>
      <c r="E120" s="6"/>
      <c r="F120" s="6"/>
      <c r="G120" s="6"/>
    </row>
    <row r="121">
      <c r="A121" s="6"/>
      <c r="B121" s="6"/>
      <c r="C121" s="6"/>
      <c r="D121" s="6"/>
      <c r="E121" s="6"/>
      <c r="F121" s="6"/>
      <c r="G121" s="6"/>
    </row>
    <row r="122">
      <c r="A122" s="6"/>
      <c r="B122" s="6"/>
      <c r="C122" s="6"/>
      <c r="D122" s="6"/>
      <c r="E122" s="6"/>
      <c r="F122" s="6"/>
      <c r="G122" s="6"/>
    </row>
    <row r="123">
      <c r="A123" s="6"/>
      <c r="B123" s="6"/>
      <c r="C123" s="6"/>
      <c r="D123" s="6"/>
      <c r="E123" s="6"/>
      <c r="F123" s="6"/>
      <c r="G123" s="6"/>
    </row>
    <row r="124">
      <c r="A124" s="6"/>
      <c r="B124" s="6"/>
      <c r="C124" s="6"/>
      <c r="D124" s="6"/>
      <c r="E124" s="6"/>
      <c r="F124" s="6"/>
      <c r="G124" s="6"/>
    </row>
    <row r="125">
      <c r="A125" s="6"/>
      <c r="B125" s="6"/>
      <c r="C125" s="6"/>
      <c r="D125" s="6"/>
      <c r="E125" s="6"/>
      <c r="F125" s="6"/>
      <c r="G125" s="6"/>
    </row>
    <row r="126">
      <c r="A126" s="6"/>
      <c r="B126" s="6"/>
      <c r="C126" s="6"/>
      <c r="D126" s="6"/>
      <c r="E126" s="6"/>
      <c r="F126" s="6"/>
      <c r="G126" s="6"/>
    </row>
    <row r="127">
      <c r="A127" s="6"/>
      <c r="B127" s="6"/>
      <c r="C127" s="6"/>
      <c r="D127" s="6"/>
      <c r="E127" s="6"/>
      <c r="F127" s="6"/>
      <c r="G127" s="6"/>
    </row>
    <row r="128">
      <c r="A128" s="6"/>
      <c r="B128" s="6"/>
      <c r="C128" s="6"/>
      <c r="D128" s="6"/>
      <c r="E128" s="6"/>
      <c r="F128" s="6"/>
      <c r="G128" s="6"/>
    </row>
    <row r="129">
      <c r="A129" s="6"/>
      <c r="B129" s="6"/>
      <c r="C129" s="6"/>
      <c r="D129" s="6"/>
      <c r="E129" s="6"/>
      <c r="F129" s="6"/>
      <c r="G129" s="6"/>
    </row>
    <row r="130">
      <c r="A130" s="6"/>
      <c r="B130" s="6"/>
      <c r="C130" s="6"/>
      <c r="D130" s="6"/>
      <c r="E130" s="6"/>
      <c r="F130" s="6"/>
      <c r="G130" s="6"/>
    </row>
    <row r="131">
      <c r="A131" s="6"/>
      <c r="B131" s="6"/>
      <c r="C131" s="6"/>
      <c r="D131" s="6"/>
      <c r="E131" s="6"/>
      <c r="F131" s="6"/>
      <c r="G131" s="6"/>
    </row>
    <row r="132">
      <c r="A132" s="6"/>
      <c r="B132" s="6"/>
      <c r="C132" s="6"/>
      <c r="D132" s="6"/>
      <c r="E132" s="6"/>
      <c r="F132" s="6"/>
      <c r="G132" s="6"/>
    </row>
    <row r="133">
      <c r="A133" s="6"/>
      <c r="B133" s="6"/>
      <c r="C133" s="6"/>
      <c r="D133" s="6"/>
      <c r="E133" s="6"/>
      <c r="F133" s="6"/>
      <c r="G133" s="6"/>
    </row>
    <row r="134">
      <c r="A134" s="6"/>
      <c r="B134" s="6"/>
      <c r="C134" s="6"/>
      <c r="D134" s="6"/>
      <c r="E134" s="6"/>
      <c r="F134" s="6"/>
      <c r="G134" s="6"/>
    </row>
    <row r="135">
      <c r="A135" s="6"/>
      <c r="B135" s="6"/>
      <c r="C135" s="6"/>
      <c r="D135" s="6"/>
      <c r="E135" s="6"/>
      <c r="F135" s="6"/>
      <c r="G135" s="6"/>
    </row>
    <row r="136">
      <c r="A136" s="6"/>
      <c r="B136" s="6"/>
      <c r="C136" s="6"/>
      <c r="D136" s="6"/>
      <c r="E136" s="6"/>
      <c r="F136" s="6"/>
      <c r="G136" s="6"/>
    </row>
    <row r="137">
      <c r="A137" s="6"/>
      <c r="B137" s="6"/>
      <c r="C137" s="6"/>
      <c r="D137" s="6"/>
      <c r="E137" s="6"/>
      <c r="F137" s="6"/>
      <c r="G137" s="6"/>
    </row>
    <row r="138">
      <c r="A138" s="6"/>
      <c r="B138" s="6"/>
      <c r="C138" s="6"/>
      <c r="D138" s="6"/>
      <c r="E138" s="6"/>
      <c r="F138" s="6"/>
      <c r="G138" s="6"/>
    </row>
    <row r="139">
      <c r="A139" s="6"/>
      <c r="B139" s="6"/>
      <c r="C139" s="6"/>
      <c r="D139" s="6"/>
      <c r="E139" s="6"/>
      <c r="F139" s="6"/>
      <c r="G139" s="6"/>
    </row>
    <row r="140">
      <c r="A140" s="6"/>
      <c r="B140" s="6"/>
      <c r="C140" s="6"/>
      <c r="D140" s="6"/>
      <c r="E140" s="6"/>
      <c r="F140" s="6"/>
      <c r="G140" s="6"/>
    </row>
    <row r="141">
      <c r="A141" s="6"/>
      <c r="B141" s="6"/>
      <c r="C141" s="6"/>
      <c r="D141" s="6"/>
      <c r="E141" s="6"/>
      <c r="F141" s="6"/>
      <c r="G141" s="6"/>
    </row>
    <row r="142">
      <c r="A142" s="6"/>
      <c r="B142" s="6"/>
      <c r="C142" s="6"/>
      <c r="D142" s="6"/>
      <c r="E142" s="6"/>
      <c r="F142" s="6"/>
      <c r="G142" s="6"/>
    </row>
    <row r="143">
      <c r="A143" s="6"/>
      <c r="B143" s="6"/>
      <c r="C143" s="6"/>
      <c r="D143" s="6"/>
      <c r="E143" s="6"/>
      <c r="F143" s="6"/>
      <c r="G143" s="6"/>
    </row>
    <row r="144">
      <c r="A144" s="6"/>
      <c r="B144" s="6"/>
      <c r="C144" s="6"/>
      <c r="D144" s="6"/>
      <c r="E144" s="6"/>
      <c r="F144" s="6"/>
      <c r="G144" s="6"/>
    </row>
    <row r="145">
      <c r="A145" s="6"/>
      <c r="B145" s="6"/>
      <c r="C145" s="6"/>
      <c r="D145" s="6"/>
      <c r="E145" s="6"/>
      <c r="F145" s="6"/>
      <c r="G145" s="6"/>
    </row>
    <row r="146">
      <c r="A146" s="6"/>
      <c r="B146" s="6"/>
      <c r="C146" s="6"/>
      <c r="D146" s="6"/>
      <c r="E146" s="6"/>
      <c r="F146" s="6"/>
      <c r="G146" s="6"/>
    </row>
    <row r="147">
      <c r="A147" s="6"/>
      <c r="B147" s="6"/>
      <c r="C147" s="6"/>
      <c r="D147" s="6"/>
      <c r="E147" s="6"/>
      <c r="F147" s="6"/>
      <c r="G147" s="6"/>
    </row>
    <row r="148">
      <c r="A148" s="6"/>
      <c r="B148" s="6"/>
      <c r="C148" s="6"/>
      <c r="D148" s="6"/>
      <c r="E148" s="6"/>
      <c r="F148" s="6"/>
      <c r="G148" s="6"/>
    </row>
    <row r="149">
      <c r="A149" s="6"/>
      <c r="B149" s="6"/>
      <c r="C149" s="6"/>
      <c r="D149" s="6"/>
      <c r="E149" s="6"/>
      <c r="F149" s="6"/>
      <c r="G149" s="6"/>
    </row>
    <row r="150">
      <c r="A150" s="6"/>
      <c r="B150" s="6"/>
      <c r="C150" s="6"/>
      <c r="D150" s="6"/>
      <c r="E150" s="6"/>
      <c r="F150" s="6"/>
      <c r="G150" s="6"/>
    </row>
    <row r="151">
      <c r="A151" s="6"/>
      <c r="B151" s="6"/>
      <c r="C151" s="6"/>
      <c r="D151" s="6"/>
      <c r="E151" s="6"/>
      <c r="F151" s="6"/>
      <c r="G151" s="6"/>
    </row>
    <row r="152">
      <c r="A152" s="6"/>
      <c r="B152" s="6"/>
      <c r="C152" s="6"/>
      <c r="D152" s="6"/>
      <c r="E152" s="6"/>
      <c r="F152" s="6"/>
      <c r="G152" s="6"/>
    </row>
    <row r="153">
      <c r="A153" s="6"/>
      <c r="B153" s="6"/>
      <c r="C153" s="6"/>
      <c r="D153" s="6"/>
      <c r="E153" s="6"/>
      <c r="F153" s="6"/>
      <c r="G153" s="6"/>
    </row>
    <row r="154">
      <c r="A154" s="6"/>
      <c r="B154" s="6"/>
      <c r="C154" s="6"/>
      <c r="D154" s="6"/>
      <c r="E154" s="6"/>
      <c r="F154" s="6"/>
      <c r="G154" s="6"/>
    </row>
    <row r="155">
      <c r="A155" s="6"/>
      <c r="B155" s="6"/>
      <c r="C155" s="6"/>
      <c r="D155" s="6"/>
      <c r="E155" s="6"/>
      <c r="F155" s="6"/>
      <c r="G155" s="6"/>
    </row>
    <row r="156">
      <c r="A156" s="6"/>
      <c r="B156" s="6"/>
      <c r="C156" s="6"/>
      <c r="D156" s="6"/>
      <c r="E156" s="6"/>
      <c r="F156" s="6"/>
      <c r="G156" s="6"/>
    </row>
    <row r="157">
      <c r="A157" s="6"/>
      <c r="B157" s="6"/>
      <c r="C157" s="6"/>
      <c r="D157" s="6"/>
      <c r="E157" s="6"/>
      <c r="F157" s="6"/>
      <c r="G157" s="6"/>
    </row>
    <row r="158">
      <c r="A158" s="6"/>
      <c r="B158" s="6"/>
      <c r="C158" s="6"/>
      <c r="D158" s="6"/>
      <c r="E158" s="6"/>
      <c r="F158" s="6"/>
      <c r="G158" s="6"/>
    </row>
    <row r="159">
      <c r="A159" s="6"/>
      <c r="B159" s="6"/>
      <c r="C159" s="6"/>
      <c r="D159" s="6"/>
      <c r="E159" s="6"/>
      <c r="F159" s="6"/>
      <c r="G159" s="6"/>
    </row>
    <row r="160">
      <c r="A160" s="6"/>
      <c r="B160" s="6"/>
      <c r="C160" s="6"/>
      <c r="D160" s="6"/>
      <c r="E160" s="6"/>
      <c r="F160" s="6"/>
      <c r="G160" s="6"/>
    </row>
    <row r="161">
      <c r="A161" s="6"/>
      <c r="B161" s="6"/>
      <c r="C161" s="6"/>
      <c r="D161" s="6"/>
      <c r="E161" s="6"/>
      <c r="F161" s="6"/>
      <c r="G161" s="6"/>
    </row>
    <row r="162">
      <c r="A162" s="6"/>
      <c r="B162" s="6"/>
      <c r="C162" s="6"/>
      <c r="D162" s="6"/>
      <c r="E162" s="6"/>
      <c r="F162" s="6"/>
      <c r="G162" s="6"/>
    </row>
    <row r="163">
      <c r="A163" s="6"/>
      <c r="B163" s="6"/>
      <c r="C163" s="6"/>
      <c r="D163" s="6"/>
      <c r="E163" s="6"/>
      <c r="F163" s="6"/>
      <c r="G163" s="6"/>
    </row>
    <row r="164">
      <c r="A164" s="6"/>
      <c r="B164" s="6"/>
      <c r="C164" s="6"/>
      <c r="D164" s="6"/>
      <c r="E164" s="6"/>
      <c r="F164" s="6"/>
      <c r="G164" s="6"/>
    </row>
    <row r="165">
      <c r="A165" s="6"/>
      <c r="B165" s="6"/>
      <c r="C165" s="6"/>
      <c r="D165" s="6"/>
      <c r="E165" s="6"/>
      <c r="F165" s="6"/>
      <c r="G165" s="6"/>
    </row>
    <row r="166">
      <c r="A166" s="6"/>
      <c r="B166" s="6"/>
      <c r="C166" s="6"/>
      <c r="D166" s="6"/>
      <c r="E166" s="6"/>
      <c r="F166" s="6"/>
      <c r="G166" s="6"/>
    </row>
    <row r="167">
      <c r="A167" s="6"/>
      <c r="B167" s="6"/>
      <c r="C167" s="6"/>
      <c r="D167" s="6"/>
      <c r="E167" s="6"/>
      <c r="F167" s="6"/>
      <c r="G167" s="6"/>
    </row>
    <row r="168">
      <c r="A168" s="6"/>
      <c r="B168" s="6"/>
      <c r="C168" s="6"/>
      <c r="D168" s="6"/>
      <c r="E168" s="6"/>
      <c r="F168" s="6"/>
      <c r="G168" s="6"/>
    </row>
    <row r="169">
      <c r="A169" s="6"/>
      <c r="B169" s="6"/>
      <c r="C169" s="6"/>
      <c r="D169" s="6"/>
      <c r="E169" s="6"/>
      <c r="F169" s="6"/>
      <c r="G169" s="6"/>
    </row>
    <row r="170">
      <c r="A170" s="6"/>
      <c r="B170" s="6"/>
      <c r="C170" s="6"/>
      <c r="D170" s="6"/>
      <c r="E170" s="6"/>
      <c r="F170" s="6"/>
      <c r="G170" s="6"/>
    </row>
    <row r="171">
      <c r="A171" s="6"/>
      <c r="B171" s="6"/>
      <c r="C171" s="6"/>
      <c r="D171" s="6"/>
      <c r="E171" s="6"/>
      <c r="F171" s="6"/>
      <c r="G171" s="6"/>
    </row>
    <row r="172">
      <c r="A172" s="6"/>
      <c r="B172" s="6"/>
      <c r="C172" s="6"/>
      <c r="D172" s="6"/>
      <c r="E172" s="6"/>
      <c r="F172" s="6"/>
      <c r="G172" s="6"/>
    </row>
    <row r="173">
      <c r="A173" s="6"/>
      <c r="B173" s="6"/>
      <c r="C173" s="6"/>
      <c r="D173" s="6"/>
      <c r="E173" s="6"/>
      <c r="F173" s="6"/>
      <c r="G173" s="6"/>
    </row>
    <row r="174">
      <c r="A174" s="6"/>
      <c r="B174" s="6"/>
      <c r="C174" s="6"/>
      <c r="D174" s="6"/>
      <c r="E174" s="6"/>
      <c r="F174" s="6"/>
      <c r="G174" s="6"/>
    </row>
    <row r="175">
      <c r="A175" s="6"/>
      <c r="B175" s="6"/>
      <c r="C175" s="6"/>
      <c r="D175" s="6"/>
      <c r="E175" s="6"/>
      <c r="F175" s="6"/>
      <c r="G175" s="6"/>
    </row>
    <row r="176">
      <c r="A176" s="6"/>
      <c r="B176" s="6"/>
      <c r="C176" s="6"/>
      <c r="D176" s="6"/>
      <c r="E176" s="6"/>
      <c r="F176" s="6"/>
      <c r="G176" s="6"/>
    </row>
    <row r="177">
      <c r="A177" s="6"/>
      <c r="B177" s="6"/>
      <c r="C177" s="6"/>
      <c r="D177" s="6"/>
      <c r="E177" s="6"/>
      <c r="F177" s="6"/>
      <c r="G177" s="6"/>
    </row>
    <row r="178">
      <c r="A178" s="6"/>
      <c r="B178" s="6"/>
      <c r="C178" s="6"/>
      <c r="D178" s="6"/>
      <c r="E178" s="6"/>
      <c r="F178" s="6"/>
      <c r="G178" s="6"/>
    </row>
    <row r="179">
      <c r="A179" s="6"/>
      <c r="B179" s="6"/>
      <c r="C179" s="6"/>
      <c r="D179" s="6"/>
      <c r="E179" s="6"/>
      <c r="F179" s="6"/>
      <c r="G179" s="6"/>
    </row>
    <row r="180">
      <c r="A180" s="6"/>
      <c r="B180" s="6"/>
      <c r="C180" s="6"/>
      <c r="D180" s="6"/>
      <c r="E180" s="6"/>
      <c r="F180" s="6"/>
      <c r="G180" s="6"/>
    </row>
    <row r="181">
      <c r="A181" s="6"/>
      <c r="B181" s="6"/>
      <c r="C181" s="6"/>
      <c r="D181" s="6"/>
      <c r="E181" s="6"/>
      <c r="F181" s="6"/>
      <c r="G181" s="6"/>
    </row>
    <row r="182">
      <c r="A182" s="6"/>
      <c r="B182" s="6"/>
      <c r="C182" s="6"/>
      <c r="D182" s="6"/>
      <c r="E182" s="6"/>
      <c r="F182" s="6"/>
      <c r="G182" s="6"/>
    </row>
    <row r="183">
      <c r="A183" s="6"/>
      <c r="B183" s="6"/>
      <c r="C183" s="6"/>
      <c r="D183" s="6"/>
      <c r="E183" s="6"/>
      <c r="F183" s="6"/>
      <c r="G183" s="6"/>
    </row>
    <row r="184">
      <c r="A184" s="6"/>
      <c r="B184" s="6"/>
      <c r="C184" s="6"/>
      <c r="D184" s="6"/>
      <c r="E184" s="6"/>
      <c r="F184" s="6"/>
      <c r="G184" s="6"/>
    </row>
    <row r="185">
      <c r="A185" s="6"/>
      <c r="B185" s="6"/>
      <c r="C185" s="6"/>
      <c r="D185" s="6"/>
      <c r="E185" s="6"/>
      <c r="F185" s="6"/>
      <c r="G185" s="6"/>
    </row>
    <row r="186">
      <c r="A186" s="6"/>
      <c r="B186" s="6"/>
      <c r="C186" s="6"/>
      <c r="D186" s="6"/>
      <c r="E186" s="6"/>
      <c r="F186" s="6"/>
      <c r="G186" s="6"/>
    </row>
    <row r="187">
      <c r="A187" s="6"/>
      <c r="B187" s="6"/>
      <c r="C187" s="6"/>
      <c r="D187" s="6"/>
      <c r="E187" s="6"/>
      <c r="F187" s="6"/>
      <c r="G187" s="6"/>
    </row>
    <row r="188">
      <c r="A188" s="6"/>
      <c r="B188" s="6"/>
      <c r="C188" s="6"/>
      <c r="D188" s="6"/>
      <c r="E188" s="6"/>
      <c r="F188" s="6"/>
      <c r="G188" s="6"/>
    </row>
    <row r="189">
      <c r="A189" s="6"/>
      <c r="B189" s="6"/>
      <c r="C189" s="6"/>
      <c r="D189" s="6"/>
      <c r="E189" s="6"/>
      <c r="F189" s="6"/>
      <c r="G189" s="6"/>
    </row>
    <row r="190">
      <c r="A190" s="6"/>
      <c r="B190" s="6"/>
      <c r="C190" s="6"/>
      <c r="D190" s="6"/>
      <c r="E190" s="6"/>
      <c r="F190" s="6"/>
      <c r="G190" s="6"/>
    </row>
    <row r="191">
      <c r="A191" s="6"/>
      <c r="B191" s="6"/>
      <c r="C191" s="6"/>
      <c r="D191" s="6"/>
      <c r="E191" s="6"/>
      <c r="F191" s="6"/>
      <c r="G191" s="6"/>
    </row>
    <row r="192">
      <c r="A192" s="6"/>
      <c r="B192" s="6"/>
      <c r="C192" s="6"/>
      <c r="D192" s="6"/>
      <c r="E192" s="6"/>
      <c r="F192" s="6"/>
      <c r="G192" s="6"/>
    </row>
    <row r="193">
      <c r="A193" s="6"/>
      <c r="B193" s="6"/>
      <c r="C193" s="6"/>
      <c r="D193" s="6"/>
      <c r="E193" s="6"/>
      <c r="F193" s="6"/>
      <c r="G193" s="6"/>
    </row>
    <row r="194">
      <c r="A194" s="6"/>
      <c r="B194" s="6"/>
      <c r="C194" s="6"/>
      <c r="D194" s="6"/>
      <c r="E194" s="6"/>
      <c r="F194" s="6"/>
      <c r="G194" s="6"/>
    </row>
    <row r="195">
      <c r="A195" s="6"/>
      <c r="B195" s="6"/>
      <c r="C195" s="6"/>
      <c r="D195" s="6"/>
      <c r="E195" s="6"/>
      <c r="F195" s="6"/>
      <c r="G195" s="6"/>
    </row>
    <row r="196">
      <c r="A196" s="6"/>
      <c r="B196" s="6"/>
      <c r="C196" s="6"/>
      <c r="D196" s="6"/>
      <c r="E196" s="6"/>
      <c r="F196" s="6"/>
      <c r="G196" s="6"/>
    </row>
    <row r="197">
      <c r="A197" s="6"/>
      <c r="B197" s="6"/>
      <c r="C197" s="6"/>
      <c r="D197" s="6"/>
      <c r="E197" s="6"/>
      <c r="F197" s="6"/>
      <c r="G197" s="6"/>
    </row>
    <row r="198">
      <c r="A198" s="6"/>
      <c r="B198" s="6"/>
      <c r="C198" s="6"/>
      <c r="D198" s="6"/>
      <c r="E198" s="6"/>
      <c r="F198" s="6"/>
      <c r="G198" s="6"/>
    </row>
    <row r="199">
      <c r="A199" s="6"/>
      <c r="B199" s="6"/>
      <c r="C199" s="6"/>
      <c r="D199" s="6"/>
      <c r="E199" s="6"/>
      <c r="F199" s="6"/>
      <c r="G199" s="6"/>
    </row>
    <row r="200">
      <c r="A200" s="6"/>
      <c r="B200" s="6"/>
      <c r="C200" s="6"/>
      <c r="D200" s="6"/>
      <c r="E200" s="6"/>
      <c r="F200" s="6"/>
      <c r="G200" s="6"/>
    </row>
    <row r="201">
      <c r="A201" s="6"/>
      <c r="B201" s="6"/>
      <c r="C201" s="6"/>
      <c r="D201" s="6"/>
      <c r="E201" s="6"/>
      <c r="F201" s="6"/>
      <c r="G201" s="6"/>
    </row>
    <row r="202">
      <c r="A202" s="6"/>
      <c r="B202" s="6"/>
      <c r="C202" s="6"/>
      <c r="D202" s="6"/>
      <c r="E202" s="6"/>
      <c r="F202" s="6"/>
      <c r="G202" s="6"/>
    </row>
    <row r="203">
      <c r="A203" s="6"/>
      <c r="B203" s="6"/>
      <c r="C203" s="6"/>
      <c r="D203" s="6"/>
      <c r="E203" s="6"/>
      <c r="F203" s="6"/>
      <c r="G203" s="6"/>
    </row>
    <row r="204">
      <c r="A204" s="6"/>
      <c r="B204" s="6"/>
      <c r="C204" s="6"/>
      <c r="D204" s="6"/>
      <c r="E204" s="6"/>
      <c r="F204" s="6"/>
      <c r="G204" s="6"/>
    </row>
    <row r="205">
      <c r="A205" s="6"/>
      <c r="B205" s="6"/>
      <c r="C205" s="6"/>
      <c r="D205" s="6"/>
      <c r="E205" s="6"/>
      <c r="F205" s="6"/>
      <c r="G205" s="6"/>
    </row>
    <row r="206">
      <c r="A206" s="6"/>
      <c r="B206" s="6"/>
      <c r="C206" s="6"/>
      <c r="D206" s="6"/>
      <c r="E206" s="6"/>
      <c r="F206" s="6"/>
      <c r="G206" s="6"/>
    </row>
    <row r="207">
      <c r="A207" s="6"/>
      <c r="B207" s="6"/>
      <c r="C207" s="6"/>
      <c r="D207" s="6"/>
      <c r="E207" s="6"/>
      <c r="F207" s="6"/>
      <c r="G207" s="6"/>
    </row>
    <row r="208">
      <c r="A208" s="6"/>
      <c r="B208" s="6"/>
      <c r="C208" s="6"/>
      <c r="D208" s="6"/>
      <c r="E208" s="6"/>
      <c r="F208" s="6"/>
      <c r="G208" s="6"/>
    </row>
    <row r="209">
      <c r="A209" s="6"/>
      <c r="B209" s="6"/>
      <c r="C209" s="6"/>
      <c r="D209" s="6"/>
      <c r="E209" s="6"/>
      <c r="F209" s="6"/>
      <c r="G209" s="6"/>
    </row>
    <row r="210">
      <c r="A210" s="6"/>
      <c r="B210" s="6"/>
      <c r="C210" s="6"/>
      <c r="D210" s="6"/>
      <c r="E210" s="6"/>
      <c r="F210" s="6"/>
      <c r="G210" s="6"/>
    </row>
    <row r="211">
      <c r="A211" s="6"/>
      <c r="B211" s="6"/>
      <c r="C211" s="6"/>
      <c r="D211" s="6"/>
      <c r="E211" s="6"/>
      <c r="F211" s="6"/>
      <c r="G211" s="6"/>
    </row>
    <row r="212">
      <c r="A212" s="6"/>
      <c r="B212" s="6"/>
      <c r="C212" s="6"/>
      <c r="D212" s="6"/>
      <c r="E212" s="6"/>
      <c r="F212" s="6"/>
      <c r="G212" s="6"/>
    </row>
    <row r="213">
      <c r="A213" s="6"/>
      <c r="B213" s="6"/>
      <c r="C213" s="6"/>
      <c r="D213" s="6"/>
      <c r="E213" s="6"/>
      <c r="F213" s="6"/>
      <c r="G213" s="6"/>
    </row>
    <row r="214">
      <c r="A214" s="6"/>
      <c r="B214" s="6"/>
      <c r="C214" s="6"/>
      <c r="D214" s="6"/>
      <c r="E214" s="6"/>
      <c r="F214" s="6"/>
      <c r="G214" s="6"/>
    </row>
    <row r="215">
      <c r="A215" s="6"/>
      <c r="B215" s="6"/>
      <c r="C215" s="6"/>
      <c r="D215" s="6"/>
      <c r="E215" s="6"/>
      <c r="F215" s="6"/>
      <c r="G215" s="6"/>
    </row>
    <row r="216">
      <c r="A216" s="6"/>
      <c r="B216" s="6"/>
      <c r="C216" s="6"/>
      <c r="D216" s="6"/>
      <c r="E216" s="6"/>
      <c r="F216" s="6"/>
      <c r="G216" s="6"/>
    </row>
    <row r="217">
      <c r="A217" s="6"/>
      <c r="B217" s="6"/>
      <c r="C217" s="6"/>
      <c r="D217" s="6"/>
      <c r="E217" s="6"/>
      <c r="F217" s="6"/>
      <c r="G217" s="6"/>
    </row>
    <row r="218">
      <c r="A218" s="6"/>
      <c r="B218" s="6"/>
      <c r="C218" s="6"/>
      <c r="D218" s="6"/>
      <c r="E218" s="6"/>
      <c r="F218" s="6"/>
      <c r="G218" s="6"/>
    </row>
    <row r="219">
      <c r="A219" s="6"/>
      <c r="B219" s="6"/>
      <c r="C219" s="6"/>
      <c r="D219" s="6"/>
      <c r="E219" s="6"/>
      <c r="F219" s="6"/>
      <c r="G219" s="6"/>
    </row>
    <row r="220">
      <c r="A220" s="6"/>
      <c r="B220" s="6"/>
      <c r="C220" s="6"/>
      <c r="D220" s="6"/>
      <c r="E220" s="6"/>
      <c r="F220" s="6"/>
      <c r="G220" s="6"/>
    </row>
    <row r="221">
      <c r="A221" s="6"/>
      <c r="B221" s="6"/>
      <c r="C221" s="6"/>
      <c r="D221" s="6"/>
      <c r="E221" s="6"/>
      <c r="F221" s="6"/>
      <c r="G221" s="6"/>
    </row>
    <row r="222">
      <c r="A222" s="6"/>
      <c r="B222" s="6"/>
      <c r="C222" s="6"/>
      <c r="D222" s="6"/>
      <c r="E222" s="6"/>
      <c r="F222" s="6"/>
      <c r="G222" s="6"/>
    </row>
    <row r="223">
      <c r="A223" s="6"/>
      <c r="B223" s="6"/>
      <c r="C223" s="6"/>
      <c r="D223" s="6"/>
      <c r="E223" s="6"/>
      <c r="F223" s="6"/>
      <c r="G223" s="6"/>
    </row>
    <row r="224">
      <c r="A224" s="6"/>
      <c r="B224" s="6"/>
      <c r="C224" s="6"/>
      <c r="D224" s="6"/>
      <c r="E224" s="6"/>
      <c r="F224" s="6"/>
      <c r="G224" s="6"/>
    </row>
    <row r="225">
      <c r="A225" s="6"/>
      <c r="B225" s="6"/>
      <c r="C225" s="6"/>
      <c r="D225" s="6"/>
      <c r="E225" s="6"/>
      <c r="F225" s="6"/>
      <c r="G225" s="6"/>
    </row>
    <row r="226">
      <c r="A226" s="6"/>
      <c r="B226" s="6"/>
      <c r="C226" s="6"/>
      <c r="D226" s="6"/>
      <c r="E226" s="6"/>
      <c r="F226" s="6"/>
      <c r="G226" s="6"/>
    </row>
    <row r="227">
      <c r="A227" s="6"/>
      <c r="B227" s="6"/>
      <c r="C227" s="6"/>
      <c r="D227" s="6"/>
      <c r="E227" s="6"/>
      <c r="F227" s="6"/>
      <c r="G227" s="6"/>
    </row>
    <row r="228">
      <c r="A228" s="6"/>
      <c r="B228" s="6"/>
      <c r="C228" s="6"/>
      <c r="D228" s="6"/>
      <c r="E228" s="6"/>
      <c r="F228" s="6"/>
      <c r="G228" s="6"/>
    </row>
    <row r="229">
      <c r="A229" s="6"/>
      <c r="B229" s="6"/>
      <c r="C229" s="6"/>
      <c r="D229" s="6"/>
      <c r="E229" s="6"/>
      <c r="F229" s="6"/>
      <c r="G229" s="6"/>
    </row>
    <row r="230">
      <c r="A230" s="6"/>
      <c r="B230" s="6"/>
      <c r="C230" s="6"/>
      <c r="D230" s="6"/>
      <c r="E230" s="6"/>
      <c r="F230" s="6"/>
      <c r="G230" s="6"/>
    </row>
    <row r="231">
      <c r="A231" s="6"/>
      <c r="B231" s="6"/>
      <c r="C231" s="6"/>
      <c r="D231" s="6"/>
      <c r="E231" s="6"/>
      <c r="F231" s="6"/>
      <c r="G231" s="6"/>
    </row>
    <row r="232">
      <c r="A232" s="6"/>
      <c r="B232" s="6"/>
      <c r="C232" s="6"/>
      <c r="D232" s="6"/>
      <c r="E232" s="6"/>
      <c r="F232" s="6"/>
      <c r="G232" s="6"/>
    </row>
    <row r="233">
      <c r="A233" s="6"/>
      <c r="B233" s="6"/>
      <c r="C233" s="6"/>
      <c r="D233" s="6"/>
      <c r="E233" s="6"/>
      <c r="F233" s="6"/>
      <c r="G233" s="6"/>
    </row>
    <row r="234">
      <c r="A234" s="6"/>
      <c r="B234" s="6"/>
      <c r="C234" s="6"/>
      <c r="D234" s="6"/>
      <c r="E234" s="6"/>
      <c r="F234" s="6"/>
      <c r="G234" s="6"/>
    </row>
    <row r="235">
      <c r="A235" s="6"/>
      <c r="B235" s="6"/>
      <c r="C235" s="6"/>
      <c r="D235" s="6"/>
      <c r="E235" s="6"/>
      <c r="F235" s="6"/>
      <c r="G235" s="6"/>
    </row>
    <row r="236">
      <c r="A236" s="6"/>
      <c r="B236" s="6"/>
      <c r="C236" s="6"/>
      <c r="D236" s="6"/>
      <c r="E236" s="6"/>
      <c r="F236" s="6"/>
      <c r="G236" s="6"/>
    </row>
    <row r="237">
      <c r="A237" s="6"/>
      <c r="B237" s="6"/>
      <c r="C237" s="6"/>
      <c r="D237" s="6"/>
      <c r="E237" s="6"/>
      <c r="F237" s="6"/>
      <c r="G237" s="6"/>
    </row>
    <row r="238">
      <c r="A238" s="6"/>
      <c r="B238" s="6"/>
      <c r="C238" s="6"/>
      <c r="D238" s="6"/>
      <c r="E238" s="6"/>
      <c r="F238" s="6"/>
      <c r="G238" s="6"/>
    </row>
    <row r="239">
      <c r="A239" s="6"/>
      <c r="B239" s="6"/>
      <c r="C239" s="6"/>
      <c r="D239" s="6"/>
      <c r="E239" s="6"/>
      <c r="F239" s="6"/>
      <c r="G239" s="6"/>
    </row>
    <row r="240">
      <c r="A240" s="6"/>
      <c r="B240" s="6"/>
      <c r="C240" s="6"/>
      <c r="D240" s="6"/>
      <c r="E240" s="6"/>
      <c r="F240" s="6"/>
      <c r="G240" s="6"/>
    </row>
    <row r="241">
      <c r="A241" s="6"/>
      <c r="B241" s="6"/>
      <c r="C241" s="6"/>
      <c r="D241" s="6"/>
      <c r="E241" s="6"/>
      <c r="F241" s="6"/>
      <c r="G241" s="6"/>
    </row>
    <row r="242">
      <c r="A242" s="6"/>
      <c r="B242" s="6"/>
      <c r="C242" s="6"/>
      <c r="D242" s="6"/>
      <c r="E242" s="6"/>
      <c r="F242" s="6"/>
      <c r="G242" s="6"/>
    </row>
    <row r="243">
      <c r="A243" s="6"/>
      <c r="B243" s="6"/>
      <c r="C243" s="6"/>
      <c r="D243" s="6"/>
      <c r="E243" s="6"/>
      <c r="F243" s="6"/>
      <c r="G243" s="6"/>
    </row>
    <row r="244">
      <c r="A244" s="6"/>
      <c r="B244" s="6"/>
      <c r="C244" s="6"/>
      <c r="D244" s="6"/>
      <c r="E244" s="6"/>
      <c r="F244" s="6"/>
      <c r="G244" s="6"/>
    </row>
    <row r="245">
      <c r="A245" s="6"/>
      <c r="B245" s="6"/>
      <c r="C245" s="6"/>
      <c r="D245" s="6"/>
      <c r="E245" s="6"/>
      <c r="F245" s="6"/>
      <c r="G245" s="6"/>
    </row>
    <row r="246">
      <c r="A246" s="6"/>
      <c r="B246" s="6"/>
      <c r="C246" s="6"/>
      <c r="D246" s="6"/>
      <c r="E246" s="6"/>
      <c r="F246" s="6"/>
      <c r="G246" s="6"/>
    </row>
    <row r="247">
      <c r="A247" s="6"/>
      <c r="B247" s="6"/>
      <c r="C247" s="6"/>
      <c r="D247" s="6"/>
      <c r="E247" s="6"/>
      <c r="F247" s="6"/>
      <c r="G247" s="6"/>
    </row>
    <row r="248">
      <c r="A248" s="6"/>
      <c r="B248" s="6"/>
      <c r="C248" s="6"/>
      <c r="D248" s="6"/>
      <c r="E248" s="6"/>
      <c r="F248" s="6"/>
      <c r="G248" s="6"/>
    </row>
    <row r="249">
      <c r="A249" s="6"/>
      <c r="B249" s="6"/>
      <c r="C249" s="6"/>
      <c r="D249" s="6"/>
      <c r="E249" s="6"/>
      <c r="F249" s="6"/>
      <c r="G249" s="6"/>
    </row>
    <row r="250">
      <c r="A250" s="6"/>
      <c r="B250" s="6"/>
      <c r="C250" s="6"/>
      <c r="D250" s="6"/>
      <c r="E250" s="6"/>
      <c r="F250" s="6"/>
      <c r="G250" s="6"/>
    </row>
    <row r="251">
      <c r="A251" s="6"/>
      <c r="B251" s="6"/>
      <c r="C251" s="6"/>
      <c r="D251" s="6"/>
      <c r="E251" s="6"/>
      <c r="F251" s="6"/>
      <c r="G251" s="6"/>
    </row>
    <row r="252">
      <c r="A252" s="6"/>
      <c r="B252" s="6"/>
      <c r="C252" s="6"/>
      <c r="D252" s="6"/>
      <c r="E252" s="6"/>
      <c r="F252" s="6"/>
      <c r="G252" s="6"/>
    </row>
    <row r="253">
      <c r="A253" s="6"/>
      <c r="B253" s="6"/>
      <c r="C253" s="6"/>
      <c r="D253" s="6"/>
      <c r="E253" s="6"/>
      <c r="F253" s="6"/>
      <c r="G253" s="6"/>
    </row>
    <row r="254">
      <c r="A254" s="6"/>
      <c r="B254" s="6"/>
      <c r="C254" s="6"/>
      <c r="D254" s="6"/>
      <c r="E254" s="6"/>
      <c r="F254" s="6"/>
      <c r="G254" s="6"/>
    </row>
    <row r="255">
      <c r="A255" s="6"/>
      <c r="B255" s="6"/>
      <c r="C255" s="6"/>
      <c r="D255" s="6"/>
      <c r="E255" s="6"/>
      <c r="F255" s="6"/>
      <c r="G255" s="6"/>
    </row>
    <row r="256">
      <c r="A256" s="6"/>
      <c r="B256" s="6"/>
      <c r="C256" s="6"/>
      <c r="D256" s="6"/>
      <c r="E256" s="6"/>
      <c r="F256" s="6"/>
      <c r="G256" s="6"/>
    </row>
    <row r="257">
      <c r="A257" s="6"/>
      <c r="B257" s="6"/>
      <c r="C257" s="6"/>
      <c r="D257" s="6"/>
      <c r="E257" s="6"/>
      <c r="F257" s="6"/>
      <c r="G257" s="6"/>
    </row>
    <row r="258">
      <c r="A258" s="6"/>
      <c r="B258" s="6"/>
      <c r="C258" s="6"/>
      <c r="D258" s="6"/>
      <c r="E258" s="6"/>
      <c r="F258" s="6"/>
      <c r="G258" s="6"/>
    </row>
    <row r="259">
      <c r="A259" s="6"/>
      <c r="B259" s="6"/>
      <c r="C259" s="6"/>
      <c r="D259" s="6"/>
      <c r="E259" s="6"/>
      <c r="F259" s="6"/>
      <c r="G259" s="6"/>
    </row>
    <row r="260">
      <c r="A260" s="6"/>
      <c r="B260" s="6"/>
      <c r="C260" s="6"/>
      <c r="D260" s="6"/>
      <c r="E260" s="6"/>
      <c r="F260" s="6"/>
      <c r="G260" s="6"/>
    </row>
    <row r="261">
      <c r="A261" s="6"/>
      <c r="B261" s="6"/>
      <c r="C261" s="6"/>
      <c r="D261" s="6"/>
      <c r="E261" s="6"/>
      <c r="F261" s="6"/>
      <c r="G261" s="6"/>
    </row>
    <row r="262">
      <c r="A262" s="6"/>
      <c r="B262" s="6"/>
      <c r="C262" s="6"/>
      <c r="D262" s="6"/>
      <c r="E262" s="6"/>
      <c r="F262" s="6"/>
      <c r="G262" s="6"/>
    </row>
    <row r="263">
      <c r="A263" s="6"/>
      <c r="B263" s="6"/>
      <c r="C263" s="6"/>
      <c r="D263" s="6"/>
      <c r="E263" s="6"/>
      <c r="F263" s="6"/>
      <c r="G263" s="6"/>
    </row>
    <row r="264">
      <c r="A264" s="6"/>
      <c r="B264" s="6"/>
      <c r="C264" s="6"/>
      <c r="D264" s="6"/>
      <c r="E264" s="6"/>
      <c r="F264" s="6"/>
      <c r="G264" s="6"/>
    </row>
    <row r="265">
      <c r="A265" s="6"/>
      <c r="B265" s="6"/>
      <c r="C265" s="6"/>
      <c r="D265" s="6"/>
      <c r="E265" s="6"/>
      <c r="F265" s="6"/>
      <c r="G265" s="6"/>
    </row>
    <row r="266">
      <c r="A266" s="6"/>
      <c r="B266" s="6"/>
      <c r="C266" s="6"/>
      <c r="D266" s="6"/>
      <c r="E266" s="6"/>
      <c r="F266" s="6"/>
      <c r="G266" s="6"/>
    </row>
    <row r="267">
      <c r="A267" s="6"/>
      <c r="B267" s="6"/>
      <c r="C267" s="6"/>
      <c r="D267" s="6"/>
      <c r="E267" s="6"/>
      <c r="F267" s="6"/>
      <c r="G267" s="6"/>
    </row>
    <row r="268">
      <c r="A268" s="6"/>
      <c r="B268" s="6"/>
      <c r="C268" s="6"/>
      <c r="D268" s="6"/>
      <c r="E268" s="6"/>
      <c r="F268" s="6"/>
      <c r="G268" s="6"/>
    </row>
    <row r="269">
      <c r="A269" s="6"/>
      <c r="B269" s="6"/>
      <c r="C269" s="6"/>
      <c r="D269" s="6"/>
      <c r="E269" s="6"/>
      <c r="F269" s="6"/>
      <c r="G269" s="6"/>
    </row>
    <row r="270">
      <c r="A270" s="6"/>
      <c r="B270" s="6"/>
      <c r="C270" s="6"/>
      <c r="D270" s="6"/>
      <c r="E270" s="6"/>
      <c r="F270" s="6"/>
      <c r="G270" s="6"/>
    </row>
    <row r="271">
      <c r="A271" s="6"/>
      <c r="B271" s="6"/>
      <c r="C271" s="6"/>
      <c r="D271" s="6"/>
      <c r="E271" s="6"/>
      <c r="F271" s="6"/>
      <c r="G271" s="6"/>
    </row>
    <row r="272">
      <c r="A272" s="6"/>
      <c r="B272" s="6"/>
      <c r="C272" s="6"/>
      <c r="D272" s="6"/>
      <c r="E272" s="6"/>
      <c r="F272" s="6"/>
      <c r="G272" s="6"/>
    </row>
    <row r="273">
      <c r="A273" s="6"/>
      <c r="B273" s="6"/>
      <c r="C273" s="6"/>
      <c r="D273" s="6"/>
      <c r="E273" s="6"/>
      <c r="F273" s="6"/>
      <c r="G273" s="6"/>
    </row>
    <row r="274">
      <c r="A274" s="6"/>
      <c r="B274" s="6"/>
      <c r="C274" s="6"/>
      <c r="D274" s="6"/>
      <c r="E274" s="6"/>
      <c r="F274" s="6"/>
      <c r="G274" s="6"/>
    </row>
    <row r="275">
      <c r="A275" s="6"/>
      <c r="B275" s="6"/>
      <c r="C275" s="6"/>
      <c r="D275" s="6"/>
      <c r="E275" s="6"/>
      <c r="F275" s="6"/>
      <c r="G275" s="6"/>
    </row>
    <row r="276">
      <c r="A276" s="6"/>
      <c r="B276" s="6"/>
      <c r="C276" s="6"/>
      <c r="D276" s="6"/>
      <c r="E276" s="6"/>
      <c r="F276" s="6"/>
      <c r="G276" s="6"/>
    </row>
    <row r="277">
      <c r="A277" s="6"/>
      <c r="B277" s="6"/>
      <c r="C277" s="6"/>
      <c r="D277" s="6"/>
      <c r="E277" s="6"/>
      <c r="F277" s="6"/>
      <c r="G277" s="6"/>
    </row>
    <row r="278">
      <c r="A278" s="6"/>
      <c r="B278" s="6"/>
      <c r="C278" s="6"/>
      <c r="D278" s="6"/>
      <c r="E278" s="6"/>
      <c r="F278" s="6"/>
      <c r="G278" s="6"/>
    </row>
    <row r="279">
      <c r="A279" s="6"/>
      <c r="B279" s="6"/>
      <c r="C279" s="6"/>
      <c r="D279" s="6"/>
      <c r="E279" s="6"/>
      <c r="F279" s="6"/>
      <c r="G279" s="6"/>
    </row>
    <row r="280">
      <c r="A280" s="6"/>
      <c r="B280" s="6"/>
      <c r="C280" s="6"/>
      <c r="D280" s="6"/>
      <c r="E280" s="6"/>
      <c r="F280" s="6"/>
      <c r="G280" s="6"/>
    </row>
    <row r="281">
      <c r="A281" s="6"/>
      <c r="B281" s="6"/>
      <c r="C281" s="6"/>
      <c r="D281" s="6"/>
      <c r="E281" s="6"/>
      <c r="F281" s="6"/>
      <c r="G281" s="6"/>
    </row>
    <row r="282">
      <c r="A282" s="6"/>
      <c r="B282" s="6"/>
      <c r="C282" s="6"/>
      <c r="D282" s="6"/>
      <c r="E282" s="6"/>
      <c r="F282" s="6"/>
      <c r="G282" s="6"/>
    </row>
    <row r="283">
      <c r="A283" s="6"/>
      <c r="B283" s="6"/>
      <c r="C283" s="6"/>
      <c r="D283" s="6"/>
      <c r="E283" s="6"/>
      <c r="F283" s="6"/>
      <c r="G283" s="6"/>
    </row>
    <row r="284">
      <c r="A284" s="6"/>
      <c r="B284" s="6"/>
      <c r="C284" s="6"/>
      <c r="D284" s="6"/>
      <c r="E284" s="6"/>
      <c r="F284" s="6"/>
      <c r="G284" s="6"/>
    </row>
    <row r="285">
      <c r="A285" s="6"/>
      <c r="B285" s="6"/>
      <c r="C285" s="6"/>
      <c r="D285" s="6"/>
      <c r="E285" s="6"/>
      <c r="F285" s="6"/>
      <c r="G285" s="6"/>
    </row>
    <row r="286">
      <c r="A286" s="6"/>
      <c r="B286" s="6"/>
      <c r="C286" s="6"/>
      <c r="D286" s="6"/>
      <c r="E286" s="6"/>
      <c r="F286" s="6"/>
      <c r="G286" s="6"/>
    </row>
    <row r="287">
      <c r="A287" s="6"/>
      <c r="B287" s="6"/>
      <c r="C287" s="6"/>
      <c r="D287" s="6"/>
      <c r="E287" s="6"/>
      <c r="F287" s="6"/>
      <c r="G287" s="6"/>
    </row>
    <row r="288">
      <c r="A288" s="6"/>
      <c r="B288" s="6"/>
      <c r="C288" s="6"/>
      <c r="D288" s="6"/>
      <c r="E288" s="6"/>
      <c r="F288" s="6"/>
      <c r="G288" s="6"/>
    </row>
    <row r="289">
      <c r="A289" s="6"/>
      <c r="B289" s="6"/>
      <c r="C289" s="6"/>
      <c r="D289" s="6"/>
      <c r="E289" s="6"/>
      <c r="F289" s="6"/>
      <c r="G289" s="6"/>
    </row>
    <row r="290">
      <c r="A290" s="6"/>
      <c r="B290" s="6"/>
      <c r="C290" s="6"/>
      <c r="D290" s="6"/>
      <c r="E290" s="6"/>
      <c r="F290" s="6"/>
      <c r="G290" s="6"/>
    </row>
    <row r="291">
      <c r="A291" s="6"/>
      <c r="B291" s="6"/>
      <c r="C291" s="6"/>
      <c r="D291" s="6"/>
      <c r="E291" s="6"/>
      <c r="F291" s="6"/>
      <c r="G291" s="6"/>
    </row>
    <row r="292">
      <c r="A292" s="6"/>
      <c r="B292" s="6"/>
      <c r="C292" s="6"/>
      <c r="D292" s="6"/>
      <c r="E292" s="6"/>
      <c r="F292" s="6"/>
      <c r="G292" s="6"/>
    </row>
    <row r="293">
      <c r="A293" s="6"/>
      <c r="B293" s="6"/>
      <c r="C293" s="6"/>
      <c r="D293" s="6"/>
      <c r="E293" s="6"/>
      <c r="F293" s="6"/>
      <c r="G293" s="6"/>
    </row>
    <row r="294">
      <c r="A294" s="6"/>
      <c r="B294" s="6"/>
      <c r="C294" s="6"/>
      <c r="D294" s="6"/>
      <c r="E294" s="6"/>
      <c r="F294" s="6"/>
      <c r="G294" s="6"/>
    </row>
    <row r="295">
      <c r="A295" s="6"/>
      <c r="B295" s="6"/>
      <c r="C295" s="6"/>
      <c r="D295" s="6"/>
      <c r="E295" s="6"/>
      <c r="F295" s="6"/>
      <c r="G295" s="6"/>
    </row>
    <row r="296">
      <c r="A296" s="6"/>
      <c r="B296" s="6"/>
      <c r="C296" s="6"/>
      <c r="D296" s="6"/>
      <c r="E296" s="6"/>
      <c r="F296" s="6"/>
      <c r="G296" s="6"/>
    </row>
    <row r="297">
      <c r="A297" s="6"/>
      <c r="B297" s="6"/>
      <c r="C297" s="6"/>
      <c r="D297" s="6"/>
      <c r="E297" s="6"/>
      <c r="F297" s="6"/>
      <c r="G297" s="6"/>
    </row>
    <row r="298">
      <c r="A298" s="6"/>
      <c r="B298" s="6"/>
      <c r="C298" s="6"/>
      <c r="D298" s="6"/>
      <c r="E298" s="6"/>
      <c r="F298" s="6"/>
      <c r="G298" s="6"/>
    </row>
    <row r="299">
      <c r="A299" s="6"/>
      <c r="B299" s="6"/>
      <c r="C299" s="6"/>
      <c r="D299" s="6"/>
      <c r="E299" s="6"/>
      <c r="F299" s="6"/>
      <c r="G299" s="6"/>
    </row>
    <row r="300">
      <c r="A300" s="6"/>
      <c r="B300" s="6"/>
      <c r="C300" s="6"/>
      <c r="D300" s="6"/>
      <c r="E300" s="6"/>
      <c r="F300" s="6"/>
      <c r="G300" s="6"/>
    </row>
    <row r="301">
      <c r="A301" s="6"/>
      <c r="B301" s="6"/>
      <c r="C301" s="6"/>
      <c r="D301" s="6"/>
      <c r="E301" s="6"/>
      <c r="F301" s="6"/>
      <c r="G301" s="6"/>
    </row>
    <row r="302">
      <c r="A302" s="6"/>
      <c r="B302" s="6"/>
      <c r="C302" s="6"/>
      <c r="D302" s="6"/>
      <c r="E302" s="6"/>
      <c r="F302" s="6"/>
      <c r="G302" s="6"/>
    </row>
    <row r="303">
      <c r="A303" s="6"/>
      <c r="B303" s="6"/>
      <c r="C303" s="6"/>
      <c r="D303" s="6"/>
      <c r="E303" s="6"/>
      <c r="F303" s="6"/>
      <c r="G303" s="6"/>
    </row>
    <row r="304">
      <c r="A304" s="6"/>
      <c r="B304" s="6"/>
      <c r="C304" s="6"/>
      <c r="D304" s="6"/>
      <c r="E304" s="6"/>
      <c r="F304" s="6"/>
      <c r="G304" s="6"/>
    </row>
    <row r="305">
      <c r="A305" s="6"/>
      <c r="B305" s="6"/>
      <c r="C305" s="6"/>
      <c r="D305" s="6"/>
      <c r="E305" s="6"/>
      <c r="F305" s="6"/>
      <c r="G305" s="6"/>
    </row>
    <row r="306">
      <c r="A306" s="6"/>
      <c r="B306" s="6"/>
      <c r="C306" s="6"/>
      <c r="D306" s="6"/>
      <c r="E306" s="6"/>
      <c r="F306" s="6"/>
      <c r="G306" s="6"/>
    </row>
    <row r="307">
      <c r="A307" s="6"/>
      <c r="B307" s="6"/>
      <c r="C307" s="6"/>
      <c r="D307" s="6"/>
      <c r="E307" s="6"/>
      <c r="F307" s="6"/>
      <c r="G307" s="6"/>
    </row>
    <row r="308">
      <c r="A308" s="6"/>
      <c r="B308" s="6"/>
      <c r="C308" s="6"/>
      <c r="D308" s="6"/>
      <c r="E308" s="6"/>
      <c r="F308" s="6"/>
      <c r="G308" s="6"/>
    </row>
    <row r="309">
      <c r="A309" s="6"/>
      <c r="B309" s="6"/>
      <c r="C309" s="6"/>
      <c r="D309" s="6"/>
      <c r="E309" s="6"/>
      <c r="F309" s="6"/>
      <c r="G309" s="6"/>
    </row>
    <row r="310">
      <c r="A310" s="6"/>
      <c r="B310" s="6"/>
      <c r="C310" s="6"/>
      <c r="D310" s="6"/>
      <c r="E310" s="6"/>
      <c r="F310" s="6"/>
      <c r="G310" s="6"/>
    </row>
    <row r="311">
      <c r="A311" s="6"/>
      <c r="B311" s="6"/>
      <c r="C311" s="6"/>
      <c r="D311" s="6"/>
      <c r="E311" s="6"/>
      <c r="F311" s="6"/>
      <c r="G311" s="6"/>
    </row>
    <row r="312">
      <c r="A312" s="6"/>
      <c r="B312" s="6"/>
      <c r="C312" s="6"/>
      <c r="D312" s="6"/>
      <c r="E312" s="6"/>
      <c r="F312" s="6"/>
      <c r="G312" s="6"/>
    </row>
    <row r="313">
      <c r="A313" s="6"/>
      <c r="B313" s="6"/>
      <c r="C313" s="6"/>
      <c r="D313" s="6"/>
      <c r="E313" s="6"/>
      <c r="F313" s="6"/>
      <c r="G313" s="6"/>
    </row>
    <row r="314">
      <c r="A314" s="6"/>
      <c r="B314" s="6"/>
      <c r="C314" s="6"/>
      <c r="D314" s="6"/>
      <c r="E314" s="6"/>
      <c r="F314" s="6"/>
      <c r="G314" s="6"/>
    </row>
    <row r="315">
      <c r="A315" s="6"/>
      <c r="B315" s="6"/>
      <c r="C315" s="6"/>
      <c r="D315" s="6"/>
      <c r="E315" s="6"/>
      <c r="F315" s="6"/>
      <c r="G315" s="6"/>
    </row>
    <row r="316">
      <c r="A316" s="6"/>
      <c r="B316" s="6"/>
      <c r="C316" s="6"/>
      <c r="D316" s="6"/>
      <c r="E316" s="6"/>
      <c r="F316" s="6"/>
      <c r="G316" s="6"/>
    </row>
    <row r="317">
      <c r="A317" s="6"/>
      <c r="B317" s="6"/>
      <c r="C317" s="6"/>
      <c r="D317" s="6"/>
      <c r="E317" s="6"/>
      <c r="F317" s="6"/>
      <c r="G317" s="6"/>
    </row>
    <row r="318">
      <c r="A318" s="6"/>
      <c r="B318" s="6"/>
      <c r="C318" s="6"/>
      <c r="D318" s="6"/>
      <c r="E318" s="6"/>
      <c r="F318" s="6"/>
      <c r="G318" s="6"/>
    </row>
    <row r="319">
      <c r="A319" s="6"/>
      <c r="B319" s="6"/>
      <c r="C319" s="6"/>
      <c r="D319" s="6"/>
      <c r="E319" s="6"/>
      <c r="F319" s="6"/>
      <c r="G319" s="6"/>
    </row>
    <row r="320">
      <c r="A320" s="6"/>
      <c r="B320" s="6"/>
      <c r="C320" s="6"/>
      <c r="D320" s="6"/>
      <c r="E320" s="6"/>
      <c r="F320" s="6"/>
      <c r="G320" s="6"/>
    </row>
    <row r="321">
      <c r="A321" s="6"/>
      <c r="B321" s="6"/>
      <c r="C321" s="6"/>
      <c r="D321" s="6"/>
      <c r="E321" s="6"/>
      <c r="F321" s="6"/>
      <c r="G321" s="6"/>
    </row>
    <row r="322">
      <c r="A322" s="6"/>
      <c r="B322" s="6"/>
      <c r="C322" s="6"/>
      <c r="D322" s="6"/>
      <c r="E322" s="6"/>
      <c r="F322" s="6"/>
      <c r="G322" s="6"/>
    </row>
    <row r="323">
      <c r="A323" s="6"/>
      <c r="B323" s="6"/>
      <c r="C323" s="6"/>
      <c r="D323" s="6"/>
      <c r="E323" s="6"/>
      <c r="F323" s="6"/>
      <c r="G323" s="6"/>
    </row>
    <row r="324">
      <c r="A324" s="6"/>
      <c r="B324" s="6"/>
      <c r="C324" s="6"/>
      <c r="D324" s="6"/>
      <c r="E324" s="6"/>
      <c r="F324" s="6"/>
      <c r="G324" s="6"/>
    </row>
    <row r="325">
      <c r="A325" s="6"/>
      <c r="B325" s="6"/>
      <c r="C325" s="6"/>
      <c r="D325" s="6"/>
      <c r="E325" s="6"/>
      <c r="F325" s="6"/>
      <c r="G325" s="6"/>
    </row>
    <row r="326">
      <c r="A326" s="6"/>
      <c r="B326" s="6"/>
      <c r="C326" s="6"/>
      <c r="D326" s="6"/>
      <c r="E326" s="6"/>
      <c r="F326" s="6"/>
      <c r="G326" s="6"/>
    </row>
    <row r="327">
      <c r="A327" s="6"/>
      <c r="B327" s="6"/>
      <c r="C327" s="6"/>
      <c r="D327" s="6"/>
      <c r="E327" s="6"/>
      <c r="F327" s="6"/>
      <c r="G327" s="6"/>
    </row>
    <row r="328">
      <c r="A328" s="6"/>
      <c r="B328" s="6"/>
      <c r="C328" s="6"/>
      <c r="D328" s="6"/>
      <c r="E328" s="6"/>
      <c r="F328" s="6"/>
      <c r="G328" s="6"/>
    </row>
    <row r="329">
      <c r="A329" s="6"/>
      <c r="B329" s="6"/>
      <c r="C329" s="6"/>
      <c r="D329" s="6"/>
      <c r="E329" s="6"/>
      <c r="F329" s="6"/>
      <c r="G329" s="6"/>
    </row>
    <row r="330">
      <c r="A330" s="6"/>
      <c r="B330" s="6"/>
      <c r="C330" s="6"/>
      <c r="D330" s="6"/>
      <c r="E330" s="6"/>
      <c r="F330" s="6"/>
      <c r="G330" s="6"/>
    </row>
    <row r="331">
      <c r="A331" s="6"/>
      <c r="B331" s="6"/>
      <c r="C331" s="6"/>
      <c r="D331" s="6"/>
      <c r="E331" s="6"/>
      <c r="F331" s="6"/>
      <c r="G331" s="6"/>
    </row>
    <row r="332">
      <c r="A332" s="6"/>
      <c r="B332" s="6"/>
      <c r="C332" s="6"/>
      <c r="D332" s="6"/>
      <c r="E332" s="6"/>
      <c r="F332" s="6"/>
      <c r="G332" s="6"/>
    </row>
    <row r="333">
      <c r="A333" s="6"/>
      <c r="B333" s="6"/>
      <c r="C333" s="6"/>
      <c r="D333" s="6"/>
      <c r="E333" s="6"/>
      <c r="F333" s="6"/>
      <c r="G333" s="6"/>
    </row>
    <row r="334">
      <c r="A334" s="6"/>
      <c r="B334" s="6"/>
      <c r="C334" s="6"/>
      <c r="D334" s="6"/>
      <c r="E334" s="6"/>
      <c r="F334" s="6"/>
      <c r="G334" s="6"/>
    </row>
    <row r="335">
      <c r="A335" s="6"/>
      <c r="B335" s="6"/>
      <c r="C335" s="6"/>
      <c r="D335" s="6"/>
      <c r="E335" s="6"/>
      <c r="F335" s="6"/>
      <c r="G335" s="6"/>
    </row>
    <row r="336">
      <c r="A336" s="6"/>
      <c r="B336" s="6"/>
      <c r="C336" s="6"/>
      <c r="D336" s="6"/>
      <c r="E336" s="6"/>
      <c r="F336" s="6"/>
      <c r="G336" s="6"/>
    </row>
    <row r="337">
      <c r="A337" s="6"/>
      <c r="B337" s="6"/>
      <c r="C337" s="6"/>
      <c r="D337" s="6"/>
      <c r="E337" s="6"/>
      <c r="F337" s="6"/>
      <c r="G337" s="6"/>
    </row>
    <row r="338">
      <c r="A338" s="6"/>
      <c r="B338" s="6"/>
      <c r="C338" s="6"/>
      <c r="D338" s="6"/>
      <c r="E338" s="6"/>
      <c r="F338" s="6"/>
      <c r="G338" s="6"/>
    </row>
    <row r="339">
      <c r="A339" s="6"/>
      <c r="B339" s="6"/>
      <c r="C339" s="6"/>
      <c r="D339" s="6"/>
      <c r="E339" s="6"/>
      <c r="F339" s="6"/>
      <c r="G339" s="6"/>
    </row>
    <row r="340">
      <c r="A340" s="6"/>
      <c r="B340" s="6"/>
      <c r="C340" s="6"/>
      <c r="D340" s="6"/>
      <c r="E340" s="6"/>
      <c r="F340" s="6"/>
      <c r="G340" s="6"/>
    </row>
    <row r="341">
      <c r="A341" s="6"/>
      <c r="B341" s="6"/>
      <c r="C341" s="6"/>
      <c r="D341" s="6"/>
      <c r="E341" s="6"/>
      <c r="F341" s="6"/>
      <c r="G341" s="6"/>
    </row>
    <row r="342">
      <c r="A342" s="6"/>
      <c r="B342" s="6"/>
      <c r="C342" s="6"/>
      <c r="D342" s="6"/>
      <c r="E342" s="6"/>
      <c r="F342" s="6"/>
      <c r="G342" s="6"/>
    </row>
    <row r="343">
      <c r="A343" s="6"/>
      <c r="B343" s="6"/>
      <c r="C343" s="6"/>
      <c r="D343" s="6"/>
      <c r="E343" s="6"/>
      <c r="F343" s="6"/>
      <c r="G343" s="6"/>
    </row>
    <row r="344">
      <c r="A344" s="6"/>
      <c r="B344" s="6"/>
      <c r="C344" s="6"/>
      <c r="D344" s="6"/>
      <c r="E344" s="6"/>
      <c r="F344" s="6"/>
      <c r="G344" s="6"/>
    </row>
    <row r="345">
      <c r="A345" s="6"/>
      <c r="B345" s="6"/>
      <c r="C345" s="6"/>
      <c r="D345" s="6"/>
      <c r="E345" s="6"/>
      <c r="F345" s="6"/>
      <c r="G345" s="6"/>
    </row>
    <row r="346">
      <c r="A346" s="6"/>
      <c r="B346" s="6"/>
      <c r="C346" s="6"/>
      <c r="D346" s="6"/>
      <c r="E346" s="6"/>
      <c r="F346" s="6"/>
      <c r="G346" s="6"/>
    </row>
    <row r="347">
      <c r="A347" s="6"/>
      <c r="B347" s="6"/>
      <c r="C347" s="6"/>
      <c r="D347" s="6"/>
      <c r="E347" s="6"/>
      <c r="F347" s="6"/>
      <c r="G347" s="6"/>
    </row>
    <row r="348">
      <c r="A348" s="6"/>
      <c r="B348" s="6"/>
      <c r="C348" s="6"/>
      <c r="D348" s="6"/>
      <c r="E348" s="6"/>
      <c r="F348" s="6"/>
      <c r="G348" s="6"/>
    </row>
    <row r="349">
      <c r="A349" s="6"/>
      <c r="B349" s="6"/>
      <c r="C349" s="6"/>
      <c r="D349" s="6"/>
      <c r="E349" s="6"/>
      <c r="F349" s="6"/>
      <c r="G349" s="6"/>
    </row>
    <row r="350">
      <c r="A350" s="6"/>
      <c r="B350" s="6"/>
      <c r="C350" s="6"/>
      <c r="D350" s="6"/>
      <c r="E350" s="6"/>
      <c r="F350" s="6"/>
      <c r="G350" s="6"/>
    </row>
    <row r="351">
      <c r="A351" s="6"/>
      <c r="B351" s="6"/>
      <c r="C351" s="6"/>
      <c r="D351" s="6"/>
      <c r="E351" s="6"/>
      <c r="F351" s="6"/>
      <c r="G351" s="6"/>
    </row>
    <row r="352">
      <c r="A352" s="6"/>
      <c r="B352" s="6"/>
      <c r="C352" s="6"/>
      <c r="D352" s="6"/>
      <c r="E352" s="6"/>
      <c r="F352" s="6"/>
      <c r="G352" s="6"/>
    </row>
    <row r="353">
      <c r="A353" s="6"/>
      <c r="B353" s="6"/>
      <c r="C353" s="6"/>
      <c r="D353" s="6"/>
      <c r="E353" s="6"/>
      <c r="F353" s="6"/>
      <c r="G353" s="6"/>
    </row>
    <row r="354">
      <c r="A354" s="6"/>
      <c r="B354" s="6"/>
      <c r="C354" s="6"/>
      <c r="D354" s="6"/>
      <c r="E354" s="6"/>
      <c r="F354" s="6"/>
      <c r="G354" s="6"/>
    </row>
    <row r="355">
      <c r="A355" s="6"/>
      <c r="B355" s="6"/>
      <c r="C355" s="6"/>
      <c r="D355" s="6"/>
      <c r="E355" s="6"/>
      <c r="F355" s="6"/>
      <c r="G355" s="6"/>
    </row>
    <row r="356">
      <c r="A356" s="6"/>
      <c r="B356" s="6"/>
      <c r="C356" s="6"/>
      <c r="D356" s="6"/>
      <c r="E356" s="6"/>
      <c r="F356" s="6"/>
      <c r="G356" s="6"/>
    </row>
    <row r="357">
      <c r="A357" s="6"/>
      <c r="B357" s="6"/>
      <c r="C357" s="6"/>
      <c r="D357" s="6"/>
      <c r="E357" s="6"/>
      <c r="F357" s="6"/>
      <c r="G357" s="6"/>
    </row>
    <row r="358">
      <c r="A358" s="6"/>
      <c r="B358" s="6"/>
      <c r="C358" s="6"/>
      <c r="D358" s="6"/>
      <c r="E358" s="6"/>
      <c r="F358" s="6"/>
      <c r="G358" s="6"/>
    </row>
    <row r="359">
      <c r="A359" s="6"/>
      <c r="B359" s="6"/>
      <c r="C359" s="6"/>
      <c r="D359" s="6"/>
      <c r="E359" s="6"/>
      <c r="F359" s="6"/>
      <c r="G359" s="6"/>
    </row>
    <row r="360">
      <c r="A360" s="6"/>
      <c r="B360" s="6"/>
      <c r="C360" s="6"/>
      <c r="D360" s="6"/>
      <c r="E360" s="6"/>
      <c r="F360" s="6"/>
      <c r="G360" s="6"/>
    </row>
    <row r="361">
      <c r="A361" s="6"/>
      <c r="B361" s="6"/>
      <c r="C361" s="6"/>
      <c r="D361" s="6"/>
      <c r="E361" s="6"/>
      <c r="F361" s="6"/>
      <c r="G361" s="6"/>
    </row>
    <row r="362">
      <c r="A362" s="6"/>
      <c r="B362" s="6"/>
      <c r="C362" s="6"/>
      <c r="D362" s="6"/>
      <c r="E362" s="6"/>
      <c r="F362" s="6"/>
      <c r="G362" s="6"/>
    </row>
    <row r="363">
      <c r="A363" s="6"/>
      <c r="B363" s="6"/>
      <c r="C363" s="6"/>
      <c r="D363" s="6"/>
      <c r="E363" s="6"/>
      <c r="F363" s="6"/>
      <c r="G363" s="6"/>
    </row>
    <row r="364">
      <c r="A364" s="6"/>
      <c r="B364" s="6"/>
      <c r="C364" s="6"/>
      <c r="D364" s="6"/>
      <c r="E364" s="6"/>
      <c r="F364" s="6"/>
      <c r="G364" s="6"/>
    </row>
    <row r="365">
      <c r="A365" s="6"/>
      <c r="B365" s="6"/>
      <c r="C365" s="6"/>
      <c r="D365" s="6"/>
      <c r="E365" s="6"/>
      <c r="F365" s="6"/>
      <c r="G365" s="6"/>
    </row>
    <row r="366">
      <c r="A366" s="6"/>
      <c r="B366" s="6"/>
      <c r="C366" s="6"/>
      <c r="D366" s="6"/>
      <c r="E366" s="6"/>
      <c r="F366" s="6"/>
      <c r="G366" s="6"/>
    </row>
    <row r="367">
      <c r="A367" s="6"/>
      <c r="B367" s="6"/>
      <c r="C367" s="6"/>
      <c r="D367" s="6"/>
      <c r="E367" s="6"/>
      <c r="F367" s="6"/>
      <c r="G367" s="6"/>
    </row>
    <row r="368">
      <c r="A368" s="6"/>
      <c r="B368" s="6"/>
      <c r="C368" s="6"/>
      <c r="D368" s="6"/>
      <c r="E368" s="6"/>
      <c r="F368" s="6"/>
      <c r="G368" s="6"/>
    </row>
    <row r="369">
      <c r="A369" s="6"/>
      <c r="B369" s="6"/>
      <c r="C369" s="6"/>
      <c r="D369" s="6"/>
      <c r="E369" s="6"/>
      <c r="F369" s="6"/>
      <c r="G369" s="6"/>
    </row>
    <row r="370">
      <c r="A370" s="6"/>
      <c r="B370" s="6"/>
      <c r="C370" s="6"/>
      <c r="D370" s="6"/>
      <c r="E370" s="6"/>
      <c r="F370" s="6"/>
      <c r="G370" s="6"/>
    </row>
    <row r="371">
      <c r="A371" s="6"/>
      <c r="B371" s="6"/>
      <c r="C371" s="6"/>
      <c r="D371" s="6"/>
      <c r="E371" s="6"/>
      <c r="F371" s="6"/>
      <c r="G371" s="6"/>
    </row>
    <row r="372">
      <c r="A372" s="6"/>
      <c r="B372" s="6"/>
      <c r="C372" s="6"/>
      <c r="D372" s="6"/>
      <c r="E372" s="6"/>
      <c r="F372" s="6"/>
      <c r="G372" s="6"/>
    </row>
    <row r="373">
      <c r="A373" s="6"/>
      <c r="B373" s="6"/>
      <c r="C373" s="6"/>
      <c r="D373" s="6"/>
      <c r="E373" s="6"/>
      <c r="F373" s="6"/>
      <c r="G373" s="6"/>
    </row>
    <row r="374">
      <c r="A374" s="6"/>
      <c r="B374" s="6"/>
      <c r="C374" s="6"/>
      <c r="D374" s="6"/>
      <c r="E374" s="6"/>
      <c r="F374" s="6"/>
      <c r="G374" s="6"/>
    </row>
    <row r="375">
      <c r="A375" s="6"/>
      <c r="B375" s="6"/>
      <c r="C375" s="6"/>
      <c r="D375" s="6"/>
      <c r="E375" s="6"/>
      <c r="F375" s="6"/>
      <c r="G375" s="6"/>
    </row>
    <row r="376">
      <c r="A376" s="6"/>
      <c r="B376" s="6"/>
      <c r="C376" s="6"/>
      <c r="D376" s="6"/>
      <c r="E376" s="6"/>
      <c r="F376" s="6"/>
      <c r="G376" s="6"/>
    </row>
    <row r="377">
      <c r="A377" s="6"/>
      <c r="B377" s="6"/>
      <c r="C377" s="6"/>
      <c r="D377" s="6"/>
      <c r="E377" s="6"/>
      <c r="F377" s="6"/>
      <c r="G377" s="6"/>
    </row>
    <row r="378">
      <c r="A378" s="6"/>
      <c r="B378" s="6"/>
      <c r="C378" s="6"/>
      <c r="D378" s="6"/>
      <c r="E378" s="6"/>
      <c r="F378" s="6"/>
      <c r="G378" s="6"/>
    </row>
    <row r="379">
      <c r="A379" s="6"/>
      <c r="B379" s="6"/>
      <c r="C379" s="6"/>
      <c r="D379" s="6"/>
      <c r="E379" s="6"/>
      <c r="F379" s="6"/>
      <c r="G379" s="6"/>
    </row>
    <row r="380">
      <c r="A380" s="6"/>
      <c r="B380" s="6"/>
      <c r="C380" s="6"/>
      <c r="D380" s="6"/>
      <c r="E380" s="6"/>
      <c r="F380" s="6"/>
      <c r="G380" s="6"/>
    </row>
    <row r="381">
      <c r="A381" s="6"/>
      <c r="B381" s="6"/>
      <c r="C381" s="6"/>
      <c r="D381" s="6"/>
      <c r="E381" s="6"/>
      <c r="F381" s="6"/>
      <c r="G381" s="6"/>
    </row>
    <row r="382">
      <c r="A382" s="6"/>
      <c r="B382" s="6"/>
      <c r="C382" s="6"/>
      <c r="D382" s="6"/>
      <c r="E382" s="6"/>
      <c r="F382" s="6"/>
      <c r="G382" s="6"/>
    </row>
    <row r="383">
      <c r="A383" s="6"/>
      <c r="B383" s="6"/>
      <c r="C383" s="6"/>
      <c r="D383" s="6"/>
      <c r="E383" s="6"/>
      <c r="F383" s="6"/>
      <c r="G383" s="6"/>
    </row>
    <row r="384">
      <c r="A384" s="6"/>
      <c r="B384" s="6"/>
      <c r="C384" s="6"/>
      <c r="D384" s="6"/>
      <c r="E384" s="6"/>
      <c r="F384" s="6"/>
      <c r="G384" s="6"/>
    </row>
    <row r="385">
      <c r="A385" s="6"/>
      <c r="B385" s="6"/>
      <c r="C385" s="6"/>
      <c r="D385" s="6"/>
      <c r="E385" s="6"/>
      <c r="F385" s="6"/>
      <c r="G385" s="6"/>
    </row>
    <row r="386">
      <c r="A386" s="6"/>
      <c r="B386" s="6"/>
      <c r="C386" s="6"/>
      <c r="D386" s="6"/>
      <c r="E386" s="6"/>
      <c r="F386" s="6"/>
      <c r="G386" s="6"/>
    </row>
    <row r="387">
      <c r="A387" s="6"/>
      <c r="B387" s="6"/>
      <c r="C387" s="6"/>
      <c r="D387" s="6"/>
      <c r="E387" s="6"/>
      <c r="F387" s="6"/>
      <c r="G387" s="6"/>
    </row>
    <row r="388">
      <c r="A388" s="6"/>
      <c r="B388" s="6"/>
      <c r="C388" s="6"/>
      <c r="D388" s="6"/>
      <c r="E388" s="6"/>
      <c r="F388" s="6"/>
      <c r="G388" s="6"/>
    </row>
    <row r="389">
      <c r="A389" s="6"/>
      <c r="B389" s="6"/>
      <c r="C389" s="6"/>
      <c r="D389" s="6"/>
      <c r="E389" s="6"/>
      <c r="F389" s="6"/>
      <c r="G389" s="6"/>
    </row>
    <row r="390">
      <c r="A390" s="6"/>
      <c r="B390" s="6"/>
      <c r="C390" s="6"/>
      <c r="D390" s="6"/>
      <c r="E390" s="6"/>
      <c r="F390" s="6"/>
      <c r="G390" s="6"/>
    </row>
    <row r="391">
      <c r="A391" s="6"/>
      <c r="B391" s="6"/>
      <c r="C391" s="6"/>
      <c r="D391" s="6"/>
      <c r="E391" s="6"/>
      <c r="F391" s="6"/>
      <c r="G391" s="6"/>
    </row>
    <row r="392">
      <c r="A392" s="6"/>
      <c r="B392" s="6"/>
      <c r="C392" s="6"/>
      <c r="D392" s="6"/>
      <c r="E392" s="6"/>
      <c r="F392" s="6"/>
      <c r="G392" s="6"/>
    </row>
    <row r="393">
      <c r="A393" s="6"/>
      <c r="B393" s="6"/>
      <c r="C393" s="6"/>
      <c r="D393" s="6"/>
      <c r="E393" s="6"/>
      <c r="F393" s="6"/>
      <c r="G393" s="6"/>
    </row>
    <row r="394">
      <c r="A394" s="6"/>
      <c r="B394" s="6"/>
      <c r="C394" s="6"/>
      <c r="D394" s="6"/>
      <c r="E394" s="6"/>
      <c r="F394" s="6"/>
      <c r="G394" s="6"/>
    </row>
    <row r="395">
      <c r="A395" s="6"/>
      <c r="B395" s="6"/>
      <c r="C395" s="6"/>
      <c r="D395" s="6"/>
      <c r="E395" s="6"/>
      <c r="F395" s="6"/>
      <c r="G395" s="6"/>
    </row>
    <row r="396">
      <c r="A396" s="6"/>
      <c r="B396" s="6"/>
      <c r="C396" s="6"/>
      <c r="D396" s="6"/>
      <c r="E396" s="6"/>
      <c r="F396" s="6"/>
      <c r="G396" s="6"/>
    </row>
    <row r="397">
      <c r="A397" s="6"/>
      <c r="B397" s="6"/>
      <c r="C397" s="6"/>
      <c r="D397" s="6"/>
      <c r="E397" s="6"/>
      <c r="F397" s="6"/>
      <c r="G397" s="6"/>
    </row>
    <row r="398">
      <c r="A398" s="6"/>
      <c r="B398" s="6"/>
      <c r="C398" s="6"/>
      <c r="D398" s="6"/>
      <c r="E398" s="6"/>
      <c r="F398" s="6"/>
      <c r="G398" s="6"/>
    </row>
    <row r="399">
      <c r="A399" s="6"/>
      <c r="B399" s="6"/>
      <c r="C399" s="6"/>
      <c r="D399" s="6"/>
      <c r="E399" s="6"/>
      <c r="F399" s="6"/>
      <c r="G399" s="6"/>
    </row>
    <row r="400">
      <c r="A400" s="6"/>
      <c r="B400" s="6"/>
      <c r="C400" s="6"/>
      <c r="D400" s="6"/>
      <c r="E400" s="6"/>
      <c r="F400" s="6"/>
      <c r="G400" s="6"/>
    </row>
    <row r="401">
      <c r="A401" s="6"/>
      <c r="B401" s="6"/>
      <c r="C401" s="6"/>
      <c r="D401" s="6"/>
      <c r="E401" s="6"/>
      <c r="F401" s="6"/>
      <c r="G401" s="6"/>
    </row>
    <row r="402">
      <c r="A402" s="6"/>
      <c r="B402" s="6"/>
      <c r="C402" s="6"/>
      <c r="D402" s="6"/>
      <c r="E402" s="6"/>
      <c r="F402" s="6"/>
      <c r="G402" s="6"/>
    </row>
    <row r="403">
      <c r="A403" s="6"/>
      <c r="B403" s="6"/>
      <c r="C403" s="6"/>
      <c r="D403" s="6"/>
      <c r="E403" s="6"/>
      <c r="F403" s="6"/>
      <c r="G403" s="6"/>
    </row>
    <row r="404">
      <c r="A404" s="6"/>
      <c r="B404" s="6"/>
      <c r="C404" s="6"/>
      <c r="D404" s="6"/>
      <c r="E404" s="6"/>
      <c r="F404" s="6"/>
      <c r="G404" s="6"/>
    </row>
    <row r="405">
      <c r="A405" s="6"/>
      <c r="B405" s="6"/>
      <c r="C405" s="6"/>
      <c r="D405" s="6"/>
      <c r="E405" s="6"/>
      <c r="F405" s="6"/>
      <c r="G405" s="6"/>
    </row>
    <row r="406">
      <c r="A406" s="6"/>
      <c r="B406" s="6"/>
      <c r="C406" s="6"/>
      <c r="D406" s="6"/>
      <c r="E406" s="6"/>
      <c r="F406" s="6"/>
      <c r="G406" s="6"/>
    </row>
    <row r="407">
      <c r="A407" s="6"/>
      <c r="B407" s="6"/>
      <c r="C407" s="6"/>
      <c r="D407" s="6"/>
      <c r="E407" s="6"/>
      <c r="F407" s="6"/>
      <c r="G407" s="6"/>
    </row>
    <row r="408">
      <c r="A408" s="6"/>
      <c r="B408" s="6"/>
      <c r="C408" s="6"/>
      <c r="D408" s="6"/>
      <c r="E408" s="6"/>
      <c r="F408" s="6"/>
      <c r="G408" s="6"/>
    </row>
    <row r="409">
      <c r="A409" s="6"/>
      <c r="B409" s="6"/>
      <c r="C409" s="6"/>
      <c r="D409" s="6"/>
      <c r="E409" s="6"/>
      <c r="F409" s="6"/>
      <c r="G409" s="6"/>
    </row>
    <row r="410">
      <c r="A410" s="6"/>
      <c r="B410" s="6"/>
      <c r="C410" s="6"/>
      <c r="D410" s="6"/>
      <c r="E410" s="6"/>
      <c r="F410" s="6"/>
      <c r="G410" s="6"/>
    </row>
    <row r="411">
      <c r="A411" s="6"/>
      <c r="B411" s="6"/>
      <c r="C411" s="6"/>
      <c r="D411" s="6"/>
      <c r="E411" s="6"/>
      <c r="F411" s="6"/>
      <c r="G411" s="6"/>
    </row>
    <row r="412">
      <c r="A412" s="6"/>
      <c r="B412" s="6"/>
      <c r="C412" s="6"/>
      <c r="D412" s="6"/>
      <c r="E412" s="6"/>
      <c r="F412" s="6"/>
      <c r="G412" s="6"/>
    </row>
    <row r="413">
      <c r="A413" s="6"/>
      <c r="B413" s="6"/>
      <c r="C413" s="6"/>
      <c r="D413" s="6"/>
      <c r="E413" s="6"/>
      <c r="F413" s="6"/>
      <c r="G413" s="6"/>
    </row>
    <row r="414">
      <c r="A414" s="6"/>
      <c r="B414" s="6"/>
      <c r="C414" s="6"/>
      <c r="D414" s="6"/>
      <c r="E414" s="6"/>
      <c r="F414" s="6"/>
      <c r="G414" s="6"/>
    </row>
    <row r="415">
      <c r="A415" s="6"/>
      <c r="B415" s="6"/>
      <c r="C415" s="6"/>
      <c r="D415" s="6"/>
      <c r="E415" s="6"/>
      <c r="F415" s="6"/>
      <c r="G415" s="6"/>
    </row>
    <row r="416">
      <c r="A416" s="6"/>
      <c r="B416" s="6"/>
      <c r="C416" s="6"/>
      <c r="D416" s="6"/>
      <c r="E416" s="6"/>
      <c r="F416" s="6"/>
      <c r="G416" s="6"/>
    </row>
    <row r="417">
      <c r="A417" s="6"/>
      <c r="B417" s="6"/>
      <c r="C417" s="6"/>
      <c r="D417" s="6"/>
      <c r="E417" s="6"/>
      <c r="F417" s="6"/>
      <c r="G417" s="6"/>
    </row>
    <row r="418">
      <c r="A418" s="6"/>
      <c r="B418" s="6"/>
      <c r="C418" s="6"/>
      <c r="D418" s="6"/>
      <c r="E418" s="6"/>
      <c r="F418" s="6"/>
      <c r="G418" s="6"/>
    </row>
    <row r="419">
      <c r="A419" s="6"/>
      <c r="B419" s="6"/>
      <c r="C419" s="6"/>
      <c r="D419" s="6"/>
      <c r="E419" s="6"/>
      <c r="F419" s="6"/>
      <c r="G419" s="6"/>
    </row>
    <row r="420">
      <c r="A420" s="6"/>
      <c r="B420" s="6"/>
      <c r="C420" s="6"/>
      <c r="D420" s="6"/>
      <c r="E420" s="6"/>
      <c r="F420" s="6"/>
      <c r="G420" s="6"/>
    </row>
    <row r="421">
      <c r="A421" s="6"/>
      <c r="B421" s="6"/>
      <c r="C421" s="6"/>
      <c r="D421" s="6"/>
      <c r="E421" s="6"/>
      <c r="F421" s="6"/>
      <c r="G421" s="6"/>
    </row>
    <row r="422">
      <c r="A422" s="6"/>
      <c r="B422" s="6"/>
      <c r="C422" s="6"/>
      <c r="D422" s="6"/>
      <c r="E422" s="6"/>
      <c r="F422" s="6"/>
      <c r="G422" s="6"/>
    </row>
    <row r="423">
      <c r="A423" s="6"/>
      <c r="B423" s="6"/>
      <c r="C423" s="6"/>
      <c r="D423" s="6"/>
      <c r="E423" s="6"/>
      <c r="F423" s="6"/>
      <c r="G423" s="6"/>
    </row>
    <row r="424">
      <c r="A424" s="6"/>
      <c r="B424" s="6"/>
      <c r="C424" s="6"/>
      <c r="D424" s="6"/>
      <c r="E424" s="6"/>
      <c r="F424" s="6"/>
      <c r="G424" s="6"/>
    </row>
    <row r="425">
      <c r="A425" s="6"/>
      <c r="B425" s="6"/>
      <c r="C425" s="6"/>
      <c r="D425" s="6"/>
      <c r="E425" s="6"/>
      <c r="F425" s="6"/>
      <c r="G425" s="6"/>
    </row>
    <row r="426">
      <c r="A426" s="6"/>
      <c r="B426" s="6"/>
      <c r="C426" s="6"/>
      <c r="D426" s="6"/>
      <c r="E426" s="6"/>
      <c r="F426" s="6"/>
      <c r="G426" s="6"/>
    </row>
    <row r="427">
      <c r="A427" s="6"/>
      <c r="B427" s="6"/>
      <c r="C427" s="6"/>
      <c r="D427" s="6"/>
      <c r="E427" s="6"/>
      <c r="F427" s="6"/>
      <c r="G427" s="6"/>
    </row>
    <row r="428">
      <c r="A428" s="6"/>
      <c r="B428" s="6"/>
      <c r="C428" s="6"/>
      <c r="D428" s="6"/>
      <c r="E428" s="6"/>
      <c r="F428" s="6"/>
      <c r="G428" s="6"/>
    </row>
    <row r="429">
      <c r="A429" s="6"/>
      <c r="B429" s="6"/>
      <c r="C429" s="6"/>
      <c r="D429" s="6"/>
      <c r="E429" s="6"/>
      <c r="F429" s="6"/>
      <c r="G429" s="6"/>
    </row>
    <row r="430">
      <c r="A430" s="6"/>
      <c r="B430" s="6"/>
      <c r="C430" s="6"/>
      <c r="D430" s="6"/>
      <c r="E430" s="6"/>
      <c r="F430" s="6"/>
      <c r="G430" s="6"/>
    </row>
    <row r="431">
      <c r="A431" s="6"/>
      <c r="B431" s="6"/>
      <c r="C431" s="6"/>
      <c r="D431" s="6"/>
      <c r="E431" s="6"/>
      <c r="F431" s="6"/>
      <c r="G431" s="6"/>
    </row>
    <row r="432">
      <c r="A432" s="6"/>
      <c r="B432" s="6"/>
      <c r="C432" s="6"/>
      <c r="D432" s="6"/>
      <c r="E432" s="6"/>
      <c r="F432" s="6"/>
      <c r="G432" s="6"/>
    </row>
    <row r="433">
      <c r="A433" s="6"/>
      <c r="B433" s="6"/>
      <c r="C433" s="6"/>
      <c r="D433" s="6"/>
      <c r="E433" s="6"/>
      <c r="F433" s="6"/>
      <c r="G433" s="6"/>
    </row>
    <row r="434">
      <c r="A434" s="6"/>
      <c r="B434" s="6"/>
      <c r="C434" s="6"/>
      <c r="D434" s="6"/>
      <c r="E434" s="6"/>
      <c r="F434" s="6"/>
      <c r="G434" s="6"/>
    </row>
    <row r="435">
      <c r="A435" s="6"/>
      <c r="B435" s="6"/>
      <c r="C435" s="6"/>
      <c r="D435" s="6"/>
      <c r="E435" s="6"/>
      <c r="F435" s="6"/>
      <c r="G435" s="6"/>
    </row>
    <row r="436">
      <c r="A436" s="6"/>
      <c r="B436" s="6"/>
      <c r="C436" s="6"/>
      <c r="D436" s="6"/>
      <c r="E436" s="6"/>
      <c r="F436" s="6"/>
      <c r="G436" s="6"/>
    </row>
    <row r="437">
      <c r="A437" s="6"/>
      <c r="B437" s="6"/>
      <c r="C437" s="6"/>
      <c r="D437" s="6"/>
      <c r="E437" s="6"/>
      <c r="F437" s="6"/>
      <c r="G437" s="6"/>
    </row>
    <row r="438">
      <c r="A438" s="6"/>
      <c r="B438" s="6"/>
      <c r="C438" s="6"/>
      <c r="D438" s="6"/>
      <c r="E438" s="6"/>
      <c r="F438" s="6"/>
      <c r="G438" s="6"/>
    </row>
    <row r="439">
      <c r="A439" s="6"/>
      <c r="B439" s="6"/>
      <c r="C439" s="6"/>
      <c r="D439" s="6"/>
      <c r="E439" s="6"/>
      <c r="F439" s="6"/>
      <c r="G439" s="6"/>
    </row>
    <row r="440">
      <c r="A440" s="6"/>
      <c r="B440" s="6"/>
      <c r="C440" s="6"/>
      <c r="D440" s="6"/>
      <c r="E440" s="6"/>
      <c r="F440" s="6"/>
      <c r="G440" s="6"/>
    </row>
    <row r="441">
      <c r="A441" s="6"/>
      <c r="B441" s="6"/>
      <c r="C441" s="6"/>
      <c r="D441" s="6"/>
      <c r="E441" s="6"/>
      <c r="F441" s="6"/>
      <c r="G441" s="6"/>
    </row>
    <row r="442">
      <c r="A442" s="6"/>
      <c r="B442" s="6"/>
      <c r="C442" s="6"/>
      <c r="D442" s="6"/>
      <c r="E442" s="6"/>
      <c r="F442" s="6"/>
      <c r="G442" s="6"/>
    </row>
    <row r="443">
      <c r="A443" s="6"/>
      <c r="B443" s="6"/>
      <c r="C443" s="6"/>
      <c r="D443" s="6"/>
      <c r="E443" s="6"/>
      <c r="F443" s="6"/>
      <c r="G443" s="6"/>
    </row>
    <row r="444">
      <c r="A444" s="6"/>
      <c r="B444" s="6"/>
      <c r="C444" s="6"/>
      <c r="D444" s="6"/>
      <c r="E444" s="6"/>
      <c r="F444" s="6"/>
      <c r="G444" s="6"/>
    </row>
    <row r="445">
      <c r="A445" s="6"/>
      <c r="B445" s="6"/>
      <c r="C445" s="6"/>
      <c r="D445" s="6"/>
      <c r="E445" s="6"/>
      <c r="F445" s="6"/>
      <c r="G445" s="6"/>
    </row>
    <row r="446">
      <c r="A446" s="6"/>
      <c r="B446" s="6"/>
      <c r="C446" s="6"/>
      <c r="D446" s="6"/>
      <c r="E446" s="6"/>
      <c r="F446" s="6"/>
      <c r="G446" s="6"/>
    </row>
    <row r="447">
      <c r="A447" s="6"/>
      <c r="B447" s="6"/>
      <c r="C447" s="6"/>
      <c r="D447" s="6"/>
      <c r="E447" s="6"/>
      <c r="F447" s="6"/>
      <c r="G447" s="6"/>
    </row>
    <row r="448">
      <c r="A448" s="6"/>
      <c r="B448" s="6"/>
      <c r="C448" s="6"/>
      <c r="D448" s="6"/>
      <c r="E448" s="6"/>
      <c r="F448" s="6"/>
      <c r="G448" s="6"/>
    </row>
    <row r="449">
      <c r="A449" s="6"/>
      <c r="B449" s="6"/>
      <c r="C449" s="6"/>
      <c r="D449" s="6"/>
      <c r="E449" s="6"/>
      <c r="F449" s="6"/>
      <c r="G449" s="6"/>
    </row>
    <row r="450">
      <c r="A450" s="6"/>
      <c r="B450" s="6"/>
      <c r="C450" s="6"/>
      <c r="D450" s="6"/>
      <c r="E450" s="6"/>
      <c r="F450" s="6"/>
      <c r="G450" s="6"/>
    </row>
    <row r="451">
      <c r="A451" s="6"/>
      <c r="B451" s="6"/>
      <c r="C451" s="6"/>
      <c r="D451" s="6"/>
      <c r="E451" s="6"/>
      <c r="F451" s="6"/>
      <c r="G451" s="6"/>
    </row>
    <row r="452">
      <c r="A452" s="6"/>
      <c r="B452" s="6"/>
      <c r="C452" s="6"/>
      <c r="D452" s="6"/>
      <c r="E452" s="6"/>
      <c r="F452" s="6"/>
      <c r="G452" s="6"/>
    </row>
    <row r="453">
      <c r="A453" s="6"/>
      <c r="B453" s="6"/>
      <c r="C453" s="6"/>
      <c r="D453" s="6"/>
      <c r="E453" s="6"/>
      <c r="F453" s="6"/>
      <c r="G453" s="6"/>
    </row>
    <row r="454">
      <c r="A454" s="6"/>
      <c r="B454" s="6"/>
      <c r="C454" s="6"/>
      <c r="D454" s="6"/>
      <c r="E454" s="6"/>
      <c r="F454" s="6"/>
      <c r="G454" s="6"/>
    </row>
    <row r="455">
      <c r="A455" s="6"/>
      <c r="B455" s="6"/>
      <c r="C455" s="6"/>
      <c r="D455" s="6"/>
      <c r="E455" s="6"/>
      <c r="F455" s="6"/>
      <c r="G455" s="6"/>
    </row>
    <row r="456">
      <c r="A456" s="6"/>
      <c r="B456" s="6"/>
      <c r="C456" s="6"/>
      <c r="D456" s="6"/>
      <c r="E456" s="6"/>
      <c r="F456" s="6"/>
      <c r="G456" s="6"/>
    </row>
    <row r="457">
      <c r="A457" s="6"/>
      <c r="B457" s="6"/>
      <c r="C457" s="6"/>
      <c r="D457" s="6"/>
      <c r="E457" s="6"/>
      <c r="F457" s="6"/>
      <c r="G457" s="6"/>
    </row>
    <row r="458">
      <c r="A458" s="6"/>
      <c r="B458" s="6"/>
      <c r="C458" s="6"/>
      <c r="D458" s="6"/>
      <c r="E458" s="6"/>
      <c r="F458" s="6"/>
      <c r="G458" s="6"/>
    </row>
    <row r="459">
      <c r="A459" s="6"/>
      <c r="B459" s="6"/>
      <c r="C459" s="6"/>
      <c r="D459" s="6"/>
      <c r="E459" s="6"/>
      <c r="F459" s="6"/>
      <c r="G459" s="6"/>
    </row>
    <row r="460">
      <c r="A460" s="6"/>
      <c r="B460" s="6"/>
      <c r="C460" s="6"/>
      <c r="D460" s="6"/>
      <c r="E460" s="6"/>
      <c r="F460" s="6"/>
      <c r="G460" s="6"/>
    </row>
    <row r="461">
      <c r="A461" s="6"/>
      <c r="B461" s="6"/>
      <c r="C461" s="6"/>
      <c r="D461" s="6"/>
      <c r="E461" s="6"/>
      <c r="F461" s="6"/>
      <c r="G461" s="6"/>
    </row>
    <row r="462">
      <c r="A462" s="6"/>
      <c r="B462" s="6"/>
      <c r="C462" s="6"/>
      <c r="D462" s="6"/>
      <c r="E462" s="6"/>
      <c r="F462" s="6"/>
      <c r="G462" s="6"/>
    </row>
    <row r="463">
      <c r="A463" s="6"/>
      <c r="B463" s="6"/>
      <c r="C463" s="6"/>
      <c r="D463" s="6"/>
      <c r="E463" s="6"/>
      <c r="F463" s="6"/>
      <c r="G463" s="6"/>
    </row>
    <row r="464">
      <c r="A464" s="6"/>
      <c r="B464" s="6"/>
      <c r="C464" s="6"/>
      <c r="D464" s="6"/>
      <c r="E464" s="6"/>
      <c r="F464" s="6"/>
      <c r="G464" s="6"/>
    </row>
    <row r="465">
      <c r="A465" s="6"/>
      <c r="B465" s="6"/>
      <c r="C465" s="6"/>
      <c r="D465" s="6"/>
      <c r="E465" s="6"/>
      <c r="F465" s="6"/>
      <c r="G465" s="6"/>
    </row>
    <row r="466">
      <c r="A466" s="6"/>
      <c r="B466" s="6"/>
      <c r="C466" s="6"/>
      <c r="D466" s="6"/>
      <c r="E466" s="6"/>
      <c r="F466" s="6"/>
      <c r="G466" s="6"/>
    </row>
    <row r="467">
      <c r="A467" s="6"/>
      <c r="B467" s="6"/>
      <c r="C467" s="6"/>
      <c r="D467" s="6"/>
      <c r="E467" s="6"/>
      <c r="F467" s="6"/>
      <c r="G467" s="6"/>
    </row>
    <row r="468">
      <c r="A468" s="6"/>
      <c r="B468" s="6"/>
      <c r="C468" s="6"/>
      <c r="D468" s="6"/>
      <c r="E468" s="6"/>
      <c r="F468" s="6"/>
      <c r="G468" s="6"/>
    </row>
    <row r="469">
      <c r="A469" s="6"/>
      <c r="B469" s="6"/>
      <c r="C469" s="6"/>
      <c r="D469" s="6"/>
      <c r="E469" s="6"/>
      <c r="F469" s="6"/>
      <c r="G469" s="6"/>
    </row>
    <row r="470">
      <c r="A470" s="6"/>
      <c r="B470" s="6"/>
      <c r="C470" s="6"/>
      <c r="D470" s="6"/>
      <c r="E470" s="6"/>
      <c r="F470" s="6"/>
      <c r="G470" s="6"/>
    </row>
    <row r="471">
      <c r="A471" s="6"/>
      <c r="B471" s="6"/>
      <c r="C471" s="6"/>
      <c r="D471" s="6"/>
      <c r="E471" s="6"/>
      <c r="F471" s="6"/>
      <c r="G471" s="6"/>
    </row>
    <row r="472">
      <c r="A472" s="6"/>
      <c r="B472" s="6"/>
      <c r="C472" s="6"/>
      <c r="D472" s="6"/>
      <c r="E472" s="6"/>
      <c r="F472" s="6"/>
      <c r="G472" s="6"/>
    </row>
    <row r="473">
      <c r="A473" s="6"/>
      <c r="B473" s="6"/>
      <c r="C473" s="6"/>
      <c r="D473" s="6"/>
      <c r="E473" s="6"/>
      <c r="F473" s="6"/>
      <c r="G473" s="6"/>
    </row>
    <row r="474">
      <c r="A474" s="6"/>
      <c r="B474" s="6"/>
      <c r="C474" s="6"/>
      <c r="D474" s="6"/>
      <c r="E474" s="6"/>
      <c r="F474" s="6"/>
      <c r="G474" s="6"/>
    </row>
    <row r="475">
      <c r="A475" s="6"/>
      <c r="B475" s="6"/>
      <c r="C475" s="6"/>
      <c r="D475" s="6"/>
      <c r="E475" s="6"/>
      <c r="F475" s="6"/>
      <c r="G475" s="6"/>
    </row>
    <row r="476">
      <c r="A476" s="6"/>
      <c r="B476" s="6"/>
      <c r="C476" s="6"/>
      <c r="D476" s="6"/>
      <c r="E476" s="6"/>
      <c r="F476" s="6"/>
      <c r="G476" s="6"/>
    </row>
    <row r="477">
      <c r="A477" s="6"/>
      <c r="B477" s="6"/>
      <c r="C477" s="6"/>
      <c r="D477" s="6"/>
      <c r="E477" s="6"/>
      <c r="F477" s="6"/>
      <c r="G477" s="6"/>
    </row>
    <row r="478">
      <c r="A478" s="6"/>
      <c r="B478" s="6"/>
      <c r="C478" s="6"/>
      <c r="D478" s="6"/>
      <c r="E478" s="6"/>
      <c r="F478" s="6"/>
      <c r="G478" s="6"/>
    </row>
    <row r="479">
      <c r="A479" s="6"/>
      <c r="B479" s="6"/>
      <c r="C479" s="6"/>
      <c r="D479" s="6"/>
      <c r="E479" s="6"/>
      <c r="F479" s="6"/>
      <c r="G479" s="6"/>
    </row>
    <row r="480">
      <c r="A480" s="6"/>
      <c r="B480" s="6"/>
      <c r="C480" s="6"/>
      <c r="D480" s="6"/>
      <c r="E480" s="6"/>
      <c r="F480" s="6"/>
      <c r="G480" s="6"/>
    </row>
    <row r="481">
      <c r="A481" s="6"/>
      <c r="B481" s="6"/>
      <c r="C481" s="6"/>
      <c r="D481" s="6"/>
      <c r="E481" s="6"/>
      <c r="F481" s="6"/>
      <c r="G481" s="6"/>
    </row>
    <row r="482">
      <c r="A482" s="6"/>
      <c r="B482" s="6"/>
      <c r="C482" s="6"/>
      <c r="D482" s="6"/>
      <c r="E482" s="6"/>
      <c r="F482" s="6"/>
      <c r="G482" s="6"/>
    </row>
    <row r="483">
      <c r="A483" s="6"/>
      <c r="B483" s="6"/>
      <c r="C483" s="6"/>
      <c r="D483" s="6"/>
      <c r="E483" s="6"/>
      <c r="F483" s="6"/>
      <c r="G483" s="6"/>
    </row>
    <row r="484">
      <c r="A484" s="6"/>
      <c r="B484" s="6"/>
      <c r="C484" s="6"/>
      <c r="D484" s="6"/>
      <c r="E484" s="6"/>
      <c r="F484" s="6"/>
      <c r="G484" s="6"/>
    </row>
    <row r="485">
      <c r="A485" s="6"/>
      <c r="B485" s="6"/>
      <c r="C485" s="6"/>
      <c r="D485" s="6"/>
      <c r="E485" s="6"/>
      <c r="F485" s="6"/>
      <c r="G485" s="6"/>
    </row>
    <row r="486">
      <c r="A486" s="6"/>
      <c r="B486" s="6"/>
      <c r="C486" s="6"/>
      <c r="D486" s="6"/>
      <c r="E486" s="6"/>
      <c r="F486" s="6"/>
      <c r="G486" s="6"/>
    </row>
    <row r="487">
      <c r="A487" s="6"/>
      <c r="B487" s="6"/>
      <c r="C487" s="6"/>
      <c r="D487" s="6"/>
      <c r="E487" s="6"/>
      <c r="F487" s="6"/>
      <c r="G487" s="6"/>
    </row>
    <row r="488">
      <c r="A488" s="6"/>
      <c r="B488" s="6"/>
      <c r="C488" s="6"/>
      <c r="D488" s="6"/>
      <c r="E488" s="6"/>
      <c r="F488" s="6"/>
      <c r="G488" s="6"/>
    </row>
    <row r="489">
      <c r="A489" s="6"/>
      <c r="B489" s="6"/>
      <c r="C489" s="6"/>
      <c r="D489" s="6"/>
      <c r="E489" s="6"/>
      <c r="F489" s="6"/>
      <c r="G489" s="6"/>
    </row>
    <row r="490">
      <c r="A490" s="6"/>
      <c r="B490" s="6"/>
      <c r="C490" s="6"/>
      <c r="D490" s="6"/>
      <c r="E490" s="6"/>
      <c r="F490" s="6"/>
      <c r="G490" s="6"/>
    </row>
    <row r="491">
      <c r="A491" s="6"/>
      <c r="B491" s="6"/>
      <c r="C491" s="6"/>
      <c r="D491" s="6"/>
      <c r="E491" s="6"/>
      <c r="F491" s="6"/>
      <c r="G491" s="6"/>
    </row>
    <row r="492">
      <c r="A492" s="6"/>
      <c r="B492" s="6"/>
      <c r="C492" s="6"/>
      <c r="D492" s="6"/>
      <c r="E492" s="6"/>
      <c r="F492" s="6"/>
      <c r="G492" s="6"/>
    </row>
    <row r="493">
      <c r="A493" s="6"/>
      <c r="B493" s="6"/>
      <c r="C493" s="6"/>
      <c r="D493" s="6"/>
      <c r="E493" s="6"/>
      <c r="F493" s="6"/>
      <c r="G493" s="6"/>
    </row>
    <row r="494">
      <c r="A494" s="6"/>
      <c r="B494" s="6"/>
      <c r="C494" s="6"/>
      <c r="D494" s="6"/>
      <c r="E494" s="6"/>
      <c r="F494" s="6"/>
      <c r="G494" s="6"/>
    </row>
    <row r="495">
      <c r="A495" s="6"/>
      <c r="B495" s="6"/>
      <c r="C495" s="6"/>
      <c r="D495" s="6"/>
      <c r="E495" s="6"/>
      <c r="F495" s="6"/>
      <c r="G495" s="6"/>
    </row>
    <row r="496">
      <c r="A496" s="6"/>
      <c r="B496" s="6"/>
      <c r="C496" s="6"/>
      <c r="D496" s="6"/>
      <c r="E496" s="6"/>
      <c r="F496" s="6"/>
      <c r="G496" s="6"/>
    </row>
    <row r="497">
      <c r="A497" s="6"/>
      <c r="B497" s="6"/>
      <c r="C497" s="6"/>
      <c r="D497" s="6"/>
      <c r="E497" s="6"/>
      <c r="F497" s="6"/>
      <c r="G497" s="6"/>
    </row>
    <row r="498">
      <c r="A498" s="6"/>
      <c r="B498" s="6"/>
      <c r="C498" s="6"/>
      <c r="D498" s="6"/>
      <c r="E498" s="6"/>
      <c r="F498" s="6"/>
      <c r="G498" s="6"/>
    </row>
    <row r="499">
      <c r="A499" s="6"/>
      <c r="B499" s="6"/>
      <c r="C499" s="6"/>
      <c r="D499" s="6"/>
      <c r="E499" s="6"/>
      <c r="F499" s="6"/>
      <c r="G499" s="6"/>
    </row>
    <row r="500">
      <c r="A500" s="6"/>
      <c r="B500" s="6"/>
      <c r="C500" s="6"/>
      <c r="D500" s="6"/>
      <c r="E500" s="6"/>
      <c r="F500" s="6"/>
      <c r="G500" s="6"/>
    </row>
    <row r="501">
      <c r="A501" s="6"/>
      <c r="B501" s="6"/>
      <c r="C501" s="6"/>
      <c r="D501" s="6"/>
      <c r="E501" s="6"/>
      <c r="F501" s="6"/>
      <c r="G501" s="6"/>
    </row>
    <row r="502">
      <c r="A502" s="6"/>
      <c r="B502" s="6"/>
      <c r="C502" s="6"/>
      <c r="D502" s="6"/>
      <c r="E502" s="6"/>
      <c r="F502" s="6"/>
      <c r="G502" s="6"/>
    </row>
    <row r="503">
      <c r="A503" s="6"/>
      <c r="B503" s="6"/>
      <c r="C503" s="6"/>
      <c r="D503" s="6"/>
      <c r="E503" s="6"/>
      <c r="F503" s="6"/>
      <c r="G503" s="6"/>
    </row>
    <row r="504">
      <c r="A504" s="6"/>
      <c r="B504" s="6"/>
      <c r="C504" s="6"/>
      <c r="D504" s="6"/>
      <c r="E504" s="6"/>
      <c r="F504" s="6"/>
      <c r="G504" s="6"/>
    </row>
    <row r="505">
      <c r="A505" s="6"/>
      <c r="B505" s="6"/>
      <c r="C505" s="6"/>
      <c r="D505" s="6"/>
      <c r="E505" s="6"/>
      <c r="F505" s="6"/>
      <c r="G505" s="6"/>
    </row>
    <row r="506">
      <c r="A506" s="6"/>
      <c r="B506" s="6"/>
      <c r="C506" s="6"/>
      <c r="D506" s="6"/>
      <c r="E506" s="6"/>
      <c r="F506" s="6"/>
      <c r="G506" s="6"/>
    </row>
    <row r="507">
      <c r="A507" s="6"/>
      <c r="B507" s="6"/>
      <c r="C507" s="6"/>
      <c r="D507" s="6"/>
      <c r="E507" s="6"/>
      <c r="F507" s="6"/>
      <c r="G507" s="6"/>
    </row>
    <row r="508">
      <c r="A508" s="6"/>
      <c r="B508" s="6"/>
      <c r="C508" s="6"/>
      <c r="D508" s="6"/>
      <c r="E508" s="6"/>
      <c r="F508" s="6"/>
      <c r="G508" s="6"/>
    </row>
    <row r="509">
      <c r="A509" s="6"/>
      <c r="B509" s="6"/>
      <c r="C509" s="6"/>
      <c r="D509" s="6"/>
      <c r="E509" s="6"/>
      <c r="F509" s="6"/>
      <c r="G509" s="6"/>
    </row>
    <row r="510">
      <c r="A510" s="6"/>
      <c r="B510" s="6"/>
      <c r="C510" s="6"/>
      <c r="D510" s="6"/>
      <c r="E510" s="6"/>
      <c r="F510" s="6"/>
      <c r="G510" s="6"/>
    </row>
    <row r="511">
      <c r="A511" s="6"/>
      <c r="B511" s="6"/>
      <c r="C511" s="6"/>
      <c r="D511" s="6"/>
      <c r="E511" s="6"/>
      <c r="F511" s="6"/>
      <c r="G511" s="6"/>
    </row>
    <row r="512">
      <c r="A512" s="6"/>
      <c r="B512" s="6"/>
      <c r="C512" s="6"/>
      <c r="D512" s="6"/>
      <c r="E512" s="6"/>
      <c r="F512" s="6"/>
      <c r="G512" s="6"/>
    </row>
    <row r="513">
      <c r="A513" s="6"/>
      <c r="B513" s="6"/>
      <c r="C513" s="6"/>
      <c r="D513" s="6"/>
      <c r="E513" s="6"/>
      <c r="F513" s="6"/>
      <c r="G513" s="6"/>
    </row>
    <row r="514">
      <c r="A514" s="6"/>
      <c r="B514" s="6"/>
      <c r="C514" s="6"/>
      <c r="D514" s="6"/>
      <c r="E514" s="6"/>
      <c r="F514" s="6"/>
      <c r="G514" s="6"/>
    </row>
    <row r="515">
      <c r="A515" s="6"/>
      <c r="B515" s="6"/>
      <c r="C515" s="6"/>
      <c r="D515" s="6"/>
      <c r="E515" s="6"/>
      <c r="F515" s="6"/>
      <c r="G515" s="6"/>
    </row>
    <row r="516">
      <c r="A516" s="6"/>
      <c r="B516" s="6"/>
      <c r="C516" s="6"/>
      <c r="D516" s="6"/>
      <c r="E516" s="6"/>
      <c r="F516" s="6"/>
      <c r="G516" s="6"/>
    </row>
    <row r="517">
      <c r="A517" s="6"/>
      <c r="B517" s="6"/>
      <c r="C517" s="6"/>
      <c r="D517" s="6"/>
      <c r="E517" s="6"/>
      <c r="F517" s="6"/>
      <c r="G517" s="6"/>
    </row>
    <row r="518">
      <c r="A518" s="6"/>
      <c r="B518" s="6"/>
      <c r="C518" s="6"/>
      <c r="D518" s="6"/>
      <c r="E518" s="6"/>
      <c r="F518" s="6"/>
      <c r="G518" s="6"/>
    </row>
    <row r="519">
      <c r="A519" s="6"/>
      <c r="B519" s="6"/>
      <c r="C519" s="6"/>
      <c r="D519" s="6"/>
      <c r="E519" s="6"/>
      <c r="F519" s="6"/>
      <c r="G519" s="6"/>
    </row>
    <row r="520">
      <c r="A520" s="6"/>
      <c r="B520" s="6"/>
      <c r="C520" s="6"/>
      <c r="D520" s="6"/>
      <c r="E520" s="6"/>
      <c r="F520" s="6"/>
      <c r="G520" s="6"/>
    </row>
    <row r="521">
      <c r="A521" s="6"/>
      <c r="B521" s="6"/>
      <c r="C521" s="6"/>
      <c r="D521" s="6"/>
      <c r="E521" s="6"/>
      <c r="F521" s="6"/>
      <c r="G521" s="6"/>
    </row>
    <row r="522">
      <c r="A522" s="6"/>
      <c r="B522" s="6"/>
      <c r="C522" s="6"/>
      <c r="D522" s="6"/>
      <c r="E522" s="6"/>
      <c r="F522" s="6"/>
      <c r="G522" s="6"/>
    </row>
    <row r="523">
      <c r="A523" s="6"/>
      <c r="B523" s="6"/>
      <c r="C523" s="6"/>
      <c r="D523" s="6"/>
      <c r="E523" s="6"/>
      <c r="F523" s="6"/>
      <c r="G523" s="6"/>
    </row>
    <row r="524">
      <c r="A524" s="6"/>
      <c r="B524" s="6"/>
      <c r="C524" s="6"/>
      <c r="D524" s="6"/>
      <c r="E524" s="6"/>
      <c r="F524" s="6"/>
      <c r="G524" s="6"/>
    </row>
    <row r="525">
      <c r="A525" s="6"/>
      <c r="B525" s="6"/>
      <c r="C525" s="6"/>
      <c r="D525" s="6"/>
      <c r="E525" s="6"/>
      <c r="F525" s="6"/>
      <c r="G525" s="6"/>
    </row>
    <row r="526">
      <c r="A526" s="6"/>
      <c r="B526" s="6"/>
      <c r="C526" s="6"/>
      <c r="D526" s="6"/>
      <c r="E526" s="6"/>
      <c r="F526" s="6"/>
      <c r="G526" s="6"/>
    </row>
    <row r="527">
      <c r="A527" s="6"/>
      <c r="B527" s="6"/>
      <c r="C527" s="6"/>
      <c r="D527" s="6"/>
      <c r="E527" s="6"/>
      <c r="F527" s="6"/>
      <c r="G527" s="6"/>
    </row>
    <row r="528">
      <c r="A528" s="6"/>
      <c r="B528" s="6"/>
      <c r="C528" s="6"/>
      <c r="D528" s="6"/>
      <c r="E528" s="6"/>
      <c r="F528" s="6"/>
      <c r="G528" s="6"/>
    </row>
    <row r="529">
      <c r="A529" s="6"/>
      <c r="B529" s="6"/>
      <c r="C529" s="6"/>
      <c r="D529" s="6"/>
      <c r="E529" s="6"/>
      <c r="F529" s="6"/>
      <c r="G529" s="6"/>
    </row>
    <row r="530">
      <c r="A530" s="6"/>
      <c r="B530" s="6"/>
      <c r="C530" s="6"/>
      <c r="D530" s="6"/>
      <c r="E530" s="6"/>
      <c r="F530" s="6"/>
      <c r="G530" s="6"/>
    </row>
    <row r="531">
      <c r="A531" s="6"/>
      <c r="B531" s="6"/>
      <c r="C531" s="6"/>
      <c r="D531" s="6"/>
      <c r="E531" s="6"/>
      <c r="F531" s="6"/>
      <c r="G531" s="6"/>
    </row>
    <row r="532">
      <c r="A532" s="6"/>
      <c r="B532" s="6"/>
      <c r="C532" s="6"/>
      <c r="D532" s="6"/>
      <c r="E532" s="6"/>
      <c r="F532" s="6"/>
      <c r="G532" s="6"/>
    </row>
    <row r="533">
      <c r="A533" s="6"/>
      <c r="B533" s="6"/>
      <c r="C533" s="6"/>
      <c r="D533" s="6"/>
      <c r="E533" s="6"/>
      <c r="F533" s="6"/>
      <c r="G533" s="6"/>
    </row>
    <row r="534">
      <c r="A534" s="6"/>
      <c r="B534" s="6"/>
      <c r="C534" s="6"/>
      <c r="D534" s="6"/>
      <c r="E534" s="6"/>
      <c r="F534" s="6"/>
      <c r="G534" s="6"/>
    </row>
    <row r="535">
      <c r="A535" s="6"/>
      <c r="B535" s="6"/>
      <c r="C535" s="6"/>
      <c r="D535" s="6"/>
      <c r="E535" s="6"/>
      <c r="F535" s="6"/>
      <c r="G535" s="6"/>
    </row>
    <row r="536">
      <c r="A536" s="6"/>
      <c r="B536" s="6"/>
      <c r="C536" s="6"/>
      <c r="D536" s="6"/>
      <c r="E536" s="6"/>
      <c r="F536" s="6"/>
      <c r="G536" s="6"/>
    </row>
    <row r="537">
      <c r="A537" s="6"/>
      <c r="B537" s="6"/>
      <c r="C537" s="6"/>
      <c r="D537" s="6"/>
      <c r="E537" s="6"/>
      <c r="F537" s="6"/>
      <c r="G537" s="6"/>
    </row>
    <row r="538">
      <c r="A538" s="6"/>
      <c r="B538" s="6"/>
      <c r="C538" s="6"/>
      <c r="D538" s="6"/>
      <c r="E538" s="6"/>
      <c r="F538" s="6"/>
      <c r="G538" s="6"/>
    </row>
    <row r="539">
      <c r="A539" s="6"/>
      <c r="B539" s="6"/>
      <c r="C539" s="6"/>
      <c r="D539" s="6"/>
      <c r="E539" s="6"/>
      <c r="F539" s="6"/>
      <c r="G539" s="6"/>
    </row>
    <row r="540">
      <c r="A540" s="6"/>
      <c r="B540" s="6"/>
      <c r="C540" s="6"/>
      <c r="D540" s="6"/>
      <c r="E540" s="6"/>
      <c r="F540" s="6"/>
      <c r="G540" s="6"/>
    </row>
    <row r="541">
      <c r="A541" s="6"/>
      <c r="B541" s="6"/>
      <c r="C541" s="6"/>
      <c r="D541" s="6"/>
      <c r="E541" s="6"/>
      <c r="F541" s="6"/>
      <c r="G541" s="6"/>
    </row>
    <row r="542">
      <c r="A542" s="6"/>
      <c r="B542" s="6"/>
      <c r="C542" s="6"/>
      <c r="D542" s="6"/>
      <c r="E542" s="6"/>
      <c r="F542" s="6"/>
      <c r="G542" s="6"/>
    </row>
    <row r="543">
      <c r="A543" s="6"/>
      <c r="B543" s="6"/>
      <c r="C543" s="6"/>
      <c r="D543" s="6"/>
      <c r="E543" s="6"/>
      <c r="F543" s="6"/>
      <c r="G543" s="6"/>
    </row>
    <row r="544">
      <c r="A544" s="6"/>
      <c r="B544" s="6"/>
      <c r="C544" s="6"/>
      <c r="D544" s="6"/>
      <c r="E544" s="6"/>
      <c r="F544" s="6"/>
      <c r="G544" s="6"/>
    </row>
    <row r="545">
      <c r="A545" s="6"/>
      <c r="B545" s="6"/>
      <c r="C545" s="6"/>
      <c r="D545" s="6"/>
      <c r="E545" s="6"/>
      <c r="F545" s="6"/>
      <c r="G545" s="6"/>
    </row>
    <row r="546">
      <c r="A546" s="6"/>
      <c r="B546" s="6"/>
      <c r="C546" s="6"/>
      <c r="D546" s="6"/>
      <c r="E546" s="6"/>
      <c r="F546" s="6"/>
      <c r="G546" s="6"/>
    </row>
    <row r="547">
      <c r="A547" s="6"/>
      <c r="B547" s="6"/>
      <c r="C547" s="6"/>
      <c r="D547" s="6"/>
      <c r="E547" s="6"/>
      <c r="F547" s="6"/>
      <c r="G547" s="6"/>
    </row>
    <row r="548">
      <c r="A548" s="6"/>
      <c r="B548" s="6"/>
      <c r="C548" s="6"/>
      <c r="D548" s="6"/>
      <c r="E548" s="6"/>
      <c r="F548" s="6"/>
      <c r="G548" s="6"/>
    </row>
    <row r="549">
      <c r="A549" s="6"/>
      <c r="B549" s="6"/>
      <c r="C549" s="6"/>
      <c r="D549" s="6"/>
      <c r="E549" s="6"/>
      <c r="F549" s="6"/>
      <c r="G549" s="6"/>
    </row>
    <row r="550">
      <c r="A550" s="6"/>
      <c r="B550" s="6"/>
      <c r="C550" s="6"/>
      <c r="D550" s="6"/>
      <c r="E550" s="6"/>
      <c r="F550" s="6"/>
      <c r="G550" s="6"/>
    </row>
    <row r="551">
      <c r="A551" s="6"/>
      <c r="B551" s="6"/>
      <c r="C551" s="6"/>
      <c r="D551" s="6"/>
      <c r="E551" s="6"/>
      <c r="F551" s="6"/>
      <c r="G551" s="6"/>
    </row>
    <row r="552">
      <c r="A552" s="6"/>
      <c r="B552" s="6"/>
      <c r="C552" s="6"/>
      <c r="D552" s="6"/>
      <c r="E552" s="6"/>
      <c r="F552" s="6"/>
      <c r="G552" s="6"/>
    </row>
    <row r="553">
      <c r="A553" s="6"/>
      <c r="B553" s="6"/>
      <c r="C553" s="6"/>
      <c r="D553" s="6"/>
      <c r="E553" s="6"/>
      <c r="F553" s="6"/>
      <c r="G553" s="6"/>
    </row>
    <row r="554">
      <c r="A554" s="6"/>
      <c r="B554" s="6"/>
      <c r="C554" s="6"/>
      <c r="D554" s="6"/>
      <c r="E554" s="6"/>
      <c r="F554" s="6"/>
      <c r="G554" s="6"/>
    </row>
    <row r="555">
      <c r="A555" s="6"/>
      <c r="B555" s="6"/>
      <c r="C555" s="6"/>
      <c r="D555" s="6"/>
      <c r="E555" s="6"/>
      <c r="F555" s="6"/>
      <c r="G555" s="6"/>
    </row>
    <row r="556">
      <c r="A556" s="6"/>
      <c r="B556" s="6"/>
      <c r="C556" s="6"/>
      <c r="D556" s="6"/>
      <c r="E556" s="6"/>
      <c r="F556" s="6"/>
      <c r="G556" s="6"/>
    </row>
    <row r="557">
      <c r="A557" s="6"/>
      <c r="B557" s="6"/>
      <c r="C557" s="6"/>
      <c r="D557" s="6"/>
      <c r="E557" s="6"/>
      <c r="F557" s="6"/>
      <c r="G557" s="6"/>
    </row>
    <row r="558">
      <c r="A558" s="6"/>
      <c r="B558" s="6"/>
      <c r="C558" s="6"/>
      <c r="D558" s="6"/>
      <c r="E558" s="6"/>
      <c r="F558" s="6"/>
      <c r="G558" s="6"/>
    </row>
    <row r="559">
      <c r="A559" s="6"/>
      <c r="B559" s="6"/>
      <c r="C559" s="6"/>
      <c r="D559" s="6"/>
      <c r="E559" s="6"/>
      <c r="F559" s="6"/>
      <c r="G559" s="6"/>
    </row>
    <row r="560">
      <c r="A560" s="6"/>
      <c r="B560" s="6"/>
      <c r="C560" s="6"/>
      <c r="D560" s="6"/>
      <c r="E560" s="6"/>
      <c r="F560" s="6"/>
      <c r="G560" s="6"/>
    </row>
    <row r="561">
      <c r="A561" s="6"/>
      <c r="B561" s="6"/>
      <c r="C561" s="6"/>
      <c r="D561" s="6"/>
      <c r="E561" s="6"/>
      <c r="F561" s="6"/>
      <c r="G561" s="6"/>
    </row>
    <row r="562">
      <c r="A562" s="6"/>
      <c r="B562" s="6"/>
      <c r="C562" s="6"/>
      <c r="D562" s="6"/>
      <c r="E562" s="6"/>
      <c r="F562" s="6"/>
      <c r="G562" s="6"/>
    </row>
    <row r="563">
      <c r="A563" s="6"/>
      <c r="B563" s="6"/>
      <c r="C563" s="6"/>
      <c r="D563" s="6"/>
      <c r="E563" s="6"/>
      <c r="F563" s="6"/>
      <c r="G563" s="6"/>
    </row>
    <row r="564">
      <c r="A564" s="6"/>
      <c r="B564" s="6"/>
      <c r="C564" s="6"/>
      <c r="D564" s="6"/>
      <c r="E564" s="6"/>
      <c r="F564" s="6"/>
      <c r="G564" s="6"/>
    </row>
    <row r="565">
      <c r="A565" s="6"/>
      <c r="B565" s="6"/>
      <c r="C565" s="6"/>
      <c r="D565" s="6"/>
      <c r="E565" s="6"/>
      <c r="F565" s="6"/>
      <c r="G565" s="6"/>
    </row>
    <row r="566">
      <c r="A566" s="6"/>
      <c r="B566" s="6"/>
      <c r="C566" s="6"/>
      <c r="D566" s="6"/>
      <c r="E566" s="6"/>
      <c r="F566" s="6"/>
      <c r="G566" s="6"/>
    </row>
    <row r="567">
      <c r="A567" s="6"/>
      <c r="B567" s="6"/>
      <c r="C567" s="6"/>
      <c r="D567" s="6"/>
      <c r="E567" s="6"/>
      <c r="F567" s="6"/>
      <c r="G567" s="6"/>
    </row>
    <row r="568">
      <c r="A568" s="6"/>
      <c r="B568" s="6"/>
      <c r="C568" s="6"/>
      <c r="D568" s="6"/>
      <c r="E568" s="6"/>
      <c r="F568" s="6"/>
      <c r="G568" s="6"/>
    </row>
    <row r="569">
      <c r="A569" s="6"/>
      <c r="B569" s="6"/>
      <c r="C569" s="6"/>
      <c r="D569" s="6"/>
      <c r="E569" s="6"/>
      <c r="F569" s="6"/>
      <c r="G569" s="6"/>
    </row>
    <row r="570">
      <c r="A570" s="6"/>
      <c r="B570" s="6"/>
      <c r="C570" s="6"/>
      <c r="D570" s="6"/>
      <c r="E570" s="6"/>
      <c r="F570" s="6"/>
      <c r="G570" s="6"/>
    </row>
    <row r="571">
      <c r="A571" s="6"/>
      <c r="B571" s="6"/>
      <c r="C571" s="6"/>
      <c r="D571" s="6"/>
      <c r="E571" s="6"/>
      <c r="F571" s="6"/>
      <c r="G571" s="6"/>
    </row>
    <row r="572">
      <c r="A572" s="6"/>
      <c r="B572" s="6"/>
      <c r="C572" s="6"/>
      <c r="D572" s="6"/>
      <c r="E572" s="6"/>
      <c r="F572" s="6"/>
      <c r="G572" s="6"/>
    </row>
    <row r="573">
      <c r="A573" s="6"/>
      <c r="B573" s="6"/>
      <c r="C573" s="6"/>
      <c r="D573" s="6"/>
      <c r="E573" s="6"/>
      <c r="F573" s="6"/>
      <c r="G573" s="6"/>
    </row>
    <row r="574">
      <c r="A574" s="6"/>
      <c r="B574" s="6"/>
      <c r="C574" s="6"/>
      <c r="D574" s="6"/>
      <c r="E574" s="6"/>
      <c r="F574" s="6"/>
      <c r="G574" s="6"/>
    </row>
    <row r="575">
      <c r="A575" s="6"/>
      <c r="B575" s="6"/>
      <c r="C575" s="6"/>
      <c r="D575" s="6"/>
      <c r="E575" s="6"/>
      <c r="F575" s="6"/>
      <c r="G575" s="6"/>
    </row>
    <row r="576">
      <c r="A576" s="6"/>
      <c r="B576" s="6"/>
      <c r="C576" s="6"/>
      <c r="D576" s="6"/>
      <c r="E576" s="6"/>
      <c r="F576" s="6"/>
      <c r="G576" s="6"/>
    </row>
    <row r="577">
      <c r="A577" s="6"/>
      <c r="B577" s="6"/>
      <c r="C577" s="6"/>
      <c r="D577" s="6"/>
      <c r="E577" s="6"/>
      <c r="F577" s="6"/>
      <c r="G577" s="6"/>
    </row>
    <row r="578">
      <c r="A578" s="6"/>
      <c r="B578" s="6"/>
      <c r="C578" s="6"/>
      <c r="D578" s="6"/>
      <c r="E578" s="6"/>
      <c r="F578" s="6"/>
      <c r="G578" s="6"/>
    </row>
    <row r="579">
      <c r="A579" s="6"/>
      <c r="B579" s="6"/>
      <c r="C579" s="6"/>
      <c r="D579" s="6"/>
      <c r="E579" s="6"/>
      <c r="F579" s="6"/>
      <c r="G579" s="6"/>
    </row>
    <row r="580">
      <c r="A580" s="6"/>
      <c r="B580" s="6"/>
      <c r="C580" s="6"/>
      <c r="D580" s="6"/>
      <c r="E580" s="6"/>
      <c r="F580" s="6"/>
      <c r="G580" s="6"/>
    </row>
    <row r="581">
      <c r="A581" s="6"/>
      <c r="B581" s="6"/>
      <c r="C581" s="6"/>
      <c r="D581" s="6"/>
      <c r="E581" s="6"/>
      <c r="F581" s="6"/>
      <c r="G581" s="6"/>
    </row>
    <row r="582">
      <c r="A582" s="6"/>
      <c r="B582" s="6"/>
      <c r="C582" s="6"/>
      <c r="D582" s="6"/>
      <c r="E582" s="6"/>
      <c r="F582" s="6"/>
      <c r="G582" s="6"/>
    </row>
    <row r="583">
      <c r="A583" s="6"/>
      <c r="B583" s="6"/>
      <c r="C583" s="6"/>
      <c r="D583" s="6"/>
      <c r="E583" s="6"/>
      <c r="F583" s="6"/>
      <c r="G583" s="6"/>
    </row>
    <row r="584">
      <c r="A584" s="6"/>
      <c r="B584" s="6"/>
      <c r="C584" s="6"/>
      <c r="D584" s="6"/>
      <c r="E584" s="6"/>
      <c r="F584" s="6"/>
      <c r="G584" s="6"/>
    </row>
    <row r="585">
      <c r="A585" s="6"/>
      <c r="B585" s="6"/>
      <c r="C585" s="6"/>
      <c r="D585" s="6"/>
      <c r="E585" s="6"/>
      <c r="F585" s="6"/>
      <c r="G585" s="6"/>
    </row>
    <row r="586">
      <c r="A586" s="6"/>
      <c r="B586" s="6"/>
      <c r="C586" s="6"/>
      <c r="D586" s="6"/>
      <c r="E586" s="6"/>
      <c r="F586" s="6"/>
      <c r="G586" s="6"/>
    </row>
    <row r="587">
      <c r="A587" s="6"/>
      <c r="B587" s="6"/>
      <c r="C587" s="6"/>
      <c r="D587" s="6"/>
      <c r="E587" s="6"/>
      <c r="F587" s="6"/>
      <c r="G587" s="6"/>
    </row>
    <row r="588">
      <c r="A588" s="6"/>
      <c r="B588" s="6"/>
      <c r="C588" s="6"/>
      <c r="D588" s="6"/>
      <c r="E588" s="6"/>
      <c r="F588" s="6"/>
      <c r="G588" s="6"/>
    </row>
    <row r="589">
      <c r="A589" s="6"/>
      <c r="B589" s="6"/>
      <c r="C589" s="6"/>
      <c r="D589" s="6"/>
      <c r="E589" s="6"/>
      <c r="F589" s="6"/>
      <c r="G589" s="6"/>
    </row>
    <row r="590">
      <c r="A590" s="6"/>
      <c r="B590" s="6"/>
      <c r="C590" s="6"/>
      <c r="D590" s="6"/>
      <c r="E590" s="6"/>
      <c r="F590" s="6"/>
      <c r="G590" s="6"/>
    </row>
    <row r="591">
      <c r="A591" s="6"/>
      <c r="B591" s="6"/>
      <c r="C591" s="6"/>
      <c r="D591" s="6"/>
      <c r="E591" s="6"/>
      <c r="F591" s="6"/>
      <c r="G591" s="6"/>
    </row>
    <row r="592">
      <c r="A592" s="6"/>
      <c r="B592" s="6"/>
      <c r="C592" s="6"/>
      <c r="D592" s="6"/>
      <c r="E592" s="6"/>
      <c r="F592" s="6"/>
      <c r="G592" s="6"/>
    </row>
    <row r="593">
      <c r="A593" s="6"/>
      <c r="B593" s="6"/>
      <c r="C593" s="6"/>
      <c r="D593" s="6"/>
      <c r="E593" s="6"/>
      <c r="F593" s="6"/>
      <c r="G593" s="6"/>
    </row>
    <row r="594">
      <c r="A594" s="6"/>
      <c r="B594" s="6"/>
      <c r="C594" s="6"/>
      <c r="D594" s="6"/>
      <c r="E594" s="6"/>
      <c r="F594" s="6"/>
      <c r="G594" s="6"/>
    </row>
    <row r="595">
      <c r="A595" s="6"/>
      <c r="B595" s="6"/>
      <c r="C595" s="6"/>
      <c r="D595" s="6"/>
      <c r="E595" s="6"/>
      <c r="F595" s="6"/>
      <c r="G595" s="6"/>
    </row>
    <row r="596">
      <c r="A596" s="6"/>
      <c r="B596" s="6"/>
      <c r="C596" s="6"/>
      <c r="D596" s="6"/>
      <c r="E596" s="6"/>
      <c r="F596" s="6"/>
      <c r="G596" s="6"/>
    </row>
    <row r="597">
      <c r="A597" s="6"/>
      <c r="B597" s="6"/>
      <c r="C597" s="6"/>
      <c r="D597" s="6"/>
      <c r="E597" s="6"/>
      <c r="F597" s="6"/>
      <c r="G597" s="6"/>
    </row>
    <row r="598">
      <c r="A598" s="6"/>
      <c r="B598" s="6"/>
      <c r="C598" s="6"/>
      <c r="D598" s="6"/>
      <c r="E598" s="6"/>
      <c r="F598" s="6"/>
      <c r="G598" s="6"/>
    </row>
    <row r="599">
      <c r="A599" s="6"/>
      <c r="B599" s="6"/>
      <c r="C599" s="6"/>
      <c r="D599" s="6"/>
      <c r="E599" s="6"/>
      <c r="F599" s="6"/>
      <c r="G599" s="6"/>
    </row>
    <row r="600">
      <c r="A600" s="6"/>
      <c r="B600" s="6"/>
      <c r="C600" s="6"/>
      <c r="D600" s="6"/>
      <c r="E600" s="6"/>
      <c r="F600" s="6"/>
      <c r="G600" s="6"/>
    </row>
    <row r="601">
      <c r="A601" s="6"/>
      <c r="B601" s="6"/>
      <c r="C601" s="6"/>
      <c r="D601" s="6"/>
      <c r="E601" s="6"/>
      <c r="F601" s="6"/>
      <c r="G601" s="6"/>
    </row>
    <row r="602">
      <c r="A602" s="6"/>
      <c r="B602" s="6"/>
      <c r="C602" s="6"/>
      <c r="D602" s="6"/>
      <c r="E602" s="6"/>
      <c r="F602" s="6"/>
      <c r="G602" s="6"/>
    </row>
    <row r="603">
      <c r="A603" s="6"/>
      <c r="B603" s="6"/>
      <c r="C603" s="6"/>
      <c r="D603" s="6"/>
      <c r="E603" s="6"/>
      <c r="F603" s="6"/>
      <c r="G603" s="6"/>
    </row>
    <row r="604">
      <c r="A604" s="6"/>
      <c r="B604" s="6"/>
      <c r="C604" s="6"/>
      <c r="D604" s="6"/>
      <c r="E604" s="6"/>
      <c r="F604" s="6"/>
      <c r="G604" s="6"/>
    </row>
    <row r="605">
      <c r="A605" s="6"/>
      <c r="B605" s="6"/>
      <c r="C605" s="6"/>
      <c r="D605" s="6"/>
      <c r="E605" s="6"/>
      <c r="F605" s="6"/>
      <c r="G605" s="6"/>
    </row>
    <row r="606">
      <c r="A606" s="6"/>
      <c r="B606" s="6"/>
      <c r="C606" s="6"/>
      <c r="D606" s="6"/>
      <c r="E606" s="6"/>
      <c r="F606" s="6"/>
      <c r="G606" s="6"/>
    </row>
    <row r="607">
      <c r="A607" s="6"/>
      <c r="B607" s="6"/>
      <c r="C607" s="6"/>
      <c r="D607" s="6"/>
      <c r="E607" s="6"/>
      <c r="F607" s="6"/>
      <c r="G607" s="6"/>
    </row>
    <row r="608">
      <c r="A608" s="6"/>
      <c r="B608" s="6"/>
      <c r="C608" s="6"/>
      <c r="D608" s="6"/>
      <c r="E608" s="6"/>
      <c r="F608" s="6"/>
      <c r="G608" s="6"/>
    </row>
    <row r="609">
      <c r="A609" s="6"/>
      <c r="B609" s="6"/>
      <c r="C609" s="6"/>
      <c r="D609" s="6"/>
      <c r="E609" s="6"/>
      <c r="F609" s="6"/>
      <c r="G609" s="6"/>
    </row>
    <row r="610">
      <c r="A610" s="6"/>
      <c r="B610" s="6"/>
      <c r="C610" s="6"/>
      <c r="D610" s="6"/>
      <c r="E610" s="6"/>
      <c r="F610" s="6"/>
      <c r="G610" s="6"/>
    </row>
    <row r="611">
      <c r="A611" s="6"/>
      <c r="B611" s="6"/>
      <c r="C611" s="6"/>
      <c r="D611" s="6"/>
      <c r="E611" s="6"/>
      <c r="F611" s="6"/>
      <c r="G611" s="6"/>
    </row>
    <row r="612">
      <c r="A612" s="6"/>
      <c r="B612" s="6"/>
      <c r="C612" s="6"/>
      <c r="D612" s="6"/>
      <c r="E612" s="6"/>
      <c r="F612" s="6"/>
      <c r="G612" s="6"/>
    </row>
    <row r="613">
      <c r="A613" s="6"/>
      <c r="B613" s="6"/>
      <c r="C613" s="6"/>
      <c r="D613" s="6"/>
      <c r="E613" s="6"/>
      <c r="F613" s="6"/>
      <c r="G613" s="6"/>
    </row>
    <row r="614">
      <c r="A614" s="6"/>
      <c r="B614" s="6"/>
      <c r="C614" s="6"/>
      <c r="D614" s="6"/>
      <c r="E614" s="6"/>
      <c r="F614" s="6"/>
      <c r="G614" s="6"/>
    </row>
    <row r="615">
      <c r="A615" s="6"/>
      <c r="B615" s="6"/>
      <c r="C615" s="6"/>
      <c r="D615" s="6"/>
      <c r="E615" s="6"/>
      <c r="F615" s="6"/>
      <c r="G615" s="6"/>
    </row>
    <row r="616">
      <c r="A616" s="6"/>
      <c r="B616" s="6"/>
      <c r="C616" s="6"/>
      <c r="D616" s="6"/>
      <c r="E616" s="6"/>
      <c r="F616" s="6"/>
      <c r="G616" s="6"/>
    </row>
    <row r="617">
      <c r="A617" s="6"/>
      <c r="B617" s="6"/>
      <c r="C617" s="6"/>
      <c r="D617" s="6"/>
      <c r="E617" s="6"/>
      <c r="F617" s="6"/>
      <c r="G617" s="6"/>
    </row>
    <row r="618">
      <c r="A618" s="6"/>
      <c r="B618" s="6"/>
      <c r="C618" s="6"/>
      <c r="D618" s="6"/>
      <c r="E618" s="6"/>
      <c r="F618" s="6"/>
      <c r="G618" s="6"/>
    </row>
    <row r="619">
      <c r="A619" s="6"/>
      <c r="B619" s="6"/>
      <c r="C619" s="6"/>
      <c r="D619" s="6"/>
      <c r="E619" s="6"/>
      <c r="F619" s="6"/>
      <c r="G619" s="6"/>
    </row>
    <row r="620">
      <c r="A620" s="6"/>
      <c r="B620" s="6"/>
      <c r="C620" s="6"/>
      <c r="D620" s="6"/>
      <c r="E620" s="6"/>
      <c r="F620" s="6"/>
      <c r="G620" s="6"/>
    </row>
    <row r="621">
      <c r="A621" s="6"/>
      <c r="B621" s="6"/>
      <c r="C621" s="6"/>
      <c r="D621" s="6"/>
      <c r="E621" s="6"/>
      <c r="F621" s="6"/>
      <c r="G621" s="6"/>
    </row>
    <row r="622">
      <c r="A622" s="6"/>
      <c r="B622" s="6"/>
      <c r="C622" s="6"/>
      <c r="D622" s="6"/>
      <c r="E622" s="6"/>
      <c r="F622" s="6"/>
      <c r="G622" s="6"/>
    </row>
    <row r="623">
      <c r="A623" s="6"/>
      <c r="B623" s="6"/>
      <c r="C623" s="6"/>
      <c r="D623" s="6"/>
      <c r="E623" s="6"/>
      <c r="F623" s="6"/>
      <c r="G623" s="6"/>
    </row>
    <row r="624">
      <c r="A624" s="6"/>
      <c r="B624" s="6"/>
      <c r="C624" s="6"/>
      <c r="D624" s="6"/>
      <c r="E624" s="6"/>
      <c r="F624" s="6"/>
      <c r="G624" s="6"/>
    </row>
    <row r="625">
      <c r="A625" s="6"/>
      <c r="B625" s="6"/>
      <c r="C625" s="6"/>
      <c r="D625" s="6"/>
      <c r="E625" s="6"/>
      <c r="F625" s="6"/>
      <c r="G625" s="6"/>
    </row>
    <row r="626">
      <c r="A626" s="6"/>
      <c r="B626" s="6"/>
      <c r="C626" s="6"/>
      <c r="D626" s="6"/>
      <c r="E626" s="6"/>
      <c r="F626" s="6"/>
      <c r="G626" s="6"/>
    </row>
    <row r="627">
      <c r="A627" s="6"/>
      <c r="B627" s="6"/>
      <c r="C627" s="6"/>
      <c r="D627" s="6"/>
      <c r="E627" s="6"/>
      <c r="F627" s="6"/>
      <c r="G627" s="6"/>
    </row>
    <row r="628">
      <c r="A628" s="6"/>
      <c r="B628" s="6"/>
      <c r="C628" s="6"/>
      <c r="D628" s="6"/>
      <c r="E628" s="6"/>
      <c r="F628" s="6"/>
      <c r="G628" s="6"/>
    </row>
    <row r="629">
      <c r="A629" s="6"/>
      <c r="B629" s="6"/>
      <c r="C629" s="6"/>
      <c r="D629" s="6"/>
      <c r="E629" s="6"/>
      <c r="F629" s="6"/>
      <c r="G629" s="6"/>
    </row>
    <row r="630">
      <c r="A630" s="6"/>
      <c r="B630" s="6"/>
      <c r="C630" s="6"/>
      <c r="D630" s="6"/>
      <c r="E630" s="6"/>
      <c r="F630" s="6"/>
      <c r="G630" s="6"/>
    </row>
    <row r="631">
      <c r="A631" s="6"/>
      <c r="B631" s="6"/>
      <c r="C631" s="6"/>
      <c r="D631" s="6"/>
      <c r="E631" s="6"/>
      <c r="F631" s="6"/>
      <c r="G631" s="6"/>
    </row>
    <row r="632">
      <c r="A632" s="6"/>
      <c r="B632" s="6"/>
      <c r="C632" s="6"/>
      <c r="D632" s="6"/>
      <c r="E632" s="6"/>
      <c r="F632" s="6"/>
      <c r="G632" s="6"/>
    </row>
    <row r="633">
      <c r="A633" s="6"/>
      <c r="B633" s="6"/>
      <c r="C633" s="6"/>
      <c r="D633" s="6"/>
      <c r="E633" s="6"/>
      <c r="F633" s="6"/>
      <c r="G633" s="6"/>
    </row>
    <row r="634">
      <c r="A634" s="6"/>
      <c r="B634" s="6"/>
      <c r="C634" s="6"/>
      <c r="D634" s="6"/>
      <c r="E634" s="6"/>
      <c r="F634" s="6"/>
      <c r="G634" s="6"/>
    </row>
    <row r="635">
      <c r="A635" s="6"/>
      <c r="B635" s="6"/>
      <c r="C635" s="6"/>
      <c r="D635" s="6"/>
      <c r="E635" s="6"/>
      <c r="F635" s="6"/>
      <c r="G635" s="6"/>
    </row>
    <row r="636">
      <c r="A636" s="6"/>
      <c r="B636" s="6"/>
      <c r="C636" s="6"/>
      <c r="D636" s="6"/>
      <c r="E636" s="6"/>
      <c r="F636" s="6"/>
      <c r="G636" s="6"/>
    </row>
    <row r="637">
      <c r="A637" s="6"/>
      <c r="B637" s="6"/>
      <c r="C637" s="6"/>
      <c r="D637" s="6"/>
      <c r="E637" s="6"/>
      <c r="F637" s="6"/>
      <c r="G637" s="6"/>
    </row>
    <row r="638">
      <c r="A638" s="6"/>
      <c r="B638" s="6"/>
      <c r="C638" s="6"/>
      <c r="D638" s="6"/>
      <c r="E638" s="6"/>
      <c r="F638" s="6"/>
      <c r="G638" s="6"/>
    </row>
    <row r="639">
      <c r="A639" s="6"/>
      <c r="B639" s="6"/>
      <c r="C639" s="6"/>
      <c r="D639" s="6"/>
      <c r="E639" s="6"/>
      <c r="F639" s="6"/>
      <c r="G639" s="6"/>
    </row>
    <row r="640">
      <c r="A640" s="6"/>
      <c r="B640" s="6"/>
      <c r="C640" s="6"/>
      <c r="D640" s="6"/>
      <c r="E640" s="6"/>
      <c r="F640" s="6"/>
      <c r="G640" s="6"/>
    </row>
    <row r="641">
      <c r="A641" s="6"/>
      <c r="B641" s="6"/>
      <c r="C641" s="6"/>
      <c r="D641" s="6"/>
      <c r="E641" s="6"/>
      <c r="F641" s="6"/>
      <c r="G641" s="6"/>
    </row>
    <row r="642">
      <c r="A642" s="6"/>
      <c r="B642" s="6"/>
      <c r="C642" s="6"/>
      <c r="D642" s="6"/>
      <c r="E642" s="6"/>
      <c r="F642" s="6"/>
      <c r="G642" s="6"/>
    </row>
    <row r="643">
      <c r="A643" s="6"/>
      <c r="B643" s="6"/>
      <c r="C643" s="6"/>
      <c r="D643" s="6"/>
      <c r="E643" s="6"/>
      <c r="F643" s="6"/>
      <c r="G643" s="6"/>
    </row>
    <row r="644">
      <c r="A644" s="6"/>
      <c r="B644" s="6"/>
      <c r="C644" s="6"/>
      <c r="D644" s="6"/>
      <c r="E644" s="6"/>
      <c r="F644" s="6"/>
      <c r="G644" s="6"/>
    </row>
    <row r="645">
      <c r="A645" s="6"/>
      <c r="B645" s="6"/>
      <c r="C645" s="6"/>
      <c r="D645" s="6"/>
      <c r="E645" s="6"/>
      <c r="F645" s="6"/>
      <c r="G645" s="6"/>
    </row>
    <row r="646">
      <c r="A646" s="6"/>
      <c r="B646" s="6"/>
      <c r="C646" s="6"/>
      <c r="D646" s="6"/>
      <c r="E646" s="6"/>
      <c r="F646" s="6"/>
      <c r="G646" s="6"/>
    </row>
    <row r="647">
      <c r="A647" s="6"/>
      <c r="B647" s="6"/>
      <c r="C647" s="6"/>
      <c r="D647" s="6"/>
      <c r="E647" s="6"/>
      <c r="F647" s="6"/>
      <c r="G647" s="6"/>
    </row>
    <row r="648">
      <c r="A648" s="6"/>
      <c r="B648" s="6"/>
      <c r="C648" s="6"/>
      <c r="D648" s="6"/>
      <c r="E648" s="6"/>
      <c r="F648" s="6"/>
      <c r="G648" s="6"/>
    </row>
    <row r="649">
      <c r="A649" s="6"/>
      <c r="B649" s="6"/>
      <c r="C649" s="6"/>
      <c r="D649" s="6"/>
      <c r="E649" s="6"/>
      <c r="F649" s="6"/>
      <c r="G649" s="6"/>
    </row>
    <row r="650">
      <c r="A650" s="6"/>
      <c r="B650" s="6"/>
      <c r="C650" s="6"/>
      <c r="D650" s="6"/>
      <c r="E650" s="6"/>
      <c r="F650" s="6"/>
      <c r="G650" s="6"/>
    </row>
    <row r="651">
      <c r="A651" s="6"/>
      <c r="B651" s="6"/>
      <c r="C651" s="6"/>
      <c r="D651" s="6"/>
      <c r="E651" s="6"/>
      <c r="F651" s="6"/>
      <c r="G651" s="6"/>
    </row>
    <row r="652">
      <c r="A652" s="6"/>
      <c r="B652" s="6"/>
      <c r="C652" s="6"/>
      <c r="D652" s="6"/>
      <c r="E652" s="6"/>
      <c r="F652" s="6"/>
      <c r="G652" s="6"/>
    </row>
    <row r="653">
      <c r="A653" s="6"/>
      <c r="B653" s="6"/>
      <c r="C653" s="6"/>
      <c r="D653" s="6"/>
      <c r="E653" s="6"/>
      <c r="F653" s="6"/>
      <c r="G653" s="6"/>
    </row>
    <row r="654">
      <c r="A654" s="6"/>
      <c r="B654" s="6"/>
      <c r="C654" s="6"/>
      <c r="D654" s="6"/>
      <c r="E654" s="6"/>
      <c r="F654" s="6"/>
      <c r="G654" s="6"/>
    </row>
    <row r="655">
      <c r="A655" s="6"/>
      <c r="B655" s="6"/>
      <c r="C655" s="6"/>
      <c r="D655" s="6"/>
      <c r="E655" s="6"/>
      <c r="F655" s="6"/>
      <c r="G655" s="6"/>
    </row>
    <row r="656">
      <c r="A656" s="6"/>
      <c r="B656" s="6"/>
      <c r="C656" s="6"/>
      <c r="D656" s="6"/>
      <c r="E656" s="6"/>
      <c r="F656" s="6"/>
      <c r="G656" s="6"/>
    </row>
    <row r="657">
      <c r="A657" s="6"/>
      <c r="B657" s="6"/>
      <c r="C657" s="6"/>
      <c r="D657" s="6"/>
      <c r="E657" s="6"/>
      <c r="F657" s="6"/>
      <c r="G657" s="6"/>
    </row>
    <row r="658">
      <c r="A658" s="6"/>
      <c r="B658" s="6"/>
      <c r="C658" s="6"/>
      <c r="D658" s="6"/>
      <c r="E658" s="6"/>
      <c r="F658" s="6"/>
      <c r="G658" s="6"/>
    </row>
    <row r="659">
      <c r="A659" s="6"/>
      <c r="B659" s="6"/>
      <c r="C659" s="6"/>
      <c r="D659" s="6"/>
      <c r="E659" s="6"/>
      <c r="F659" s="6"/>
      <c r="G659" s="6"/>
    </row>
    <row r="660">
      <c r="A660" s="6"/>
      <c r="B660" s="6"/>
      <c r="C660" s="6"/>
      <c r="D660" s="6"/>
      <c r="E660" s="6"/>
      <c r="F660" s="6"/>
      <c r="G660" s="6"/>
    </row>
    <row r="661">
      <c r="A661" s="6"/>
      <c r="B661" s="6"/>
      <c r="C661" s="6"/>
      <c r="D661" s="6"/>
      <c r="E661" s="6"/>
      <c r="F661" s="6"/>
      <c r="G661" s="6"/>
    </row>
    <row r="662">
      <c r="A662" s="6"/>
      <c r="B662" s="6"/>
      <c r="C662" s="6"/>
      <c r="D662" s="6"/>
      <c r="E662" s="6"/>
      <c r="F662" s="6"/>
      <c r="G662" s="6"/>
    </row>
    <row r="663">
      <c r="A663" s="6"/>
      <c r="B663" s="6"/>
      <c r="C663" s="6"/>
      <c r="D663" s="6"/>
      <c r="E663" s="6"/>
      <c r="F663" s="6"/>
      <c r="G663" s="6"/>
    </row>
    <row r="664">
      <c r="A664" s="6"/>
      <c r="B664" s="6"/>
      <c r="C664" s="6"/>
      <c r="D664" s="6"/>
      <c r="E664" s="6"/>
      <c r="F664" s="6"/>
      <c r="G664" s="6"/>
    </row>
    <row r="665">
      <c r="A665" s="6"/>
      <c r="B665" s="6"/>
      <c r="C665" s="6"/>
      <c r="D665" s="6"/>
      <c r="E665" s="6"/>
      <c r="F665" s="6"/>
      <c r="G665" s="6"/>
    </row>
    <row r="666">
      <c r="A666" s="6"/>
      <c r="B666" s="6"/>
      <c r="C666" s="6"/>
      <c r="D666" s="6"/>
      <c r="E666" s="6"/>
      <c r="F666" s="6"/>
      <c r="G666" s="6"/>
    </row>
    <row r="667">
      <c r="A667" s="6"/>
      <c r="B667" s="6"/>
      <c r="C667" s="6"/>
      <c r="D667" s="6"/>
      <c r="E667" s="6"/>
      <c r="F667" s="6"/>
      <c r="G667" s="6"/>
    </row>
    <row r="668">
      <c r="A668" s="6"/>
      <c r="B668" s="6"/>
      <c r="C668" s="6"/>
      <c r="D668" s="6"/>
      <c r="E668" s="6"/>
      <c r="F668" s="6"/>
      <c r="G668" s="6"/>
    </row>
    <row r="669">
      <c r="A669" s="6"/>
      <c r="B669" s="6"/>
      <c r="C669" s="6"/>
      <c r="D669" s="6"/>
      <c r="E669" s="6"/>
      <c r="F669" s="6"/>
      <c r="G669" s="6"/>
    </row>
    <row r="670">
      <c r="A670" s="6"/>
      <c r="B670" s="6"/>
      <c r="C670" s="6"/>
      <c r="D670" s="6"/>
      <c r="E670" s="6"/>
      <c r="F670" s="6"/>
      <c r="G670" s="6"/>
    </row>
    <row r="671">
      <c r="A671" s="6"/>
      <c r="B671" s="6"/>
      <c r="C671" s="6"/>
      <c r="D671" s="6"/>
      <c r="E671" s="6"/>
      <c r="F671" s="6"/>
      <c r="G671" s="6"/>
    </row>
    <row r="672">
      <c r="A672" s="6"/>
      <c r="B672" s="6"/>
      <c r="C672" s="6"/>
      <c r="D672" s="6"/>
      <c r="E672" s="6"/>
      <c r="F672" s="6"/>
      <c r="G672" s="6"/>
    </row>
    <row r="673">
      <c r="A673" s="6"/>
      <c r="B673" s="6"/>
      <c r="C673" s="6"/>
      <c r="D673" s="6"/>
      <c r="E673" s="6"/>
      <c r="F673" s="6"/>
      <c r="G673" s="6"/>
    </row>
    <row r="674">
      <c r="A674" s="6"/>
      <c r="B674" s="6"/>
      <c r="C674" s="6"/>
      <c r="D674" s="6"/>
      <c r="E674" s="6"/>
      <c r="F674" s="6"/>
      <c r="G674" s="6"/>
    </row>
    <row r="675">
      <c r="A675" s="6"/>
      <c r="B675" s="6"/>
      <c r="C675" s="6"/>
      <c r="D675" s="6"/>
      <c r="E675" s="6"/>
      <c r="F675" s="6"/>
      <c r="G675" s="6"/>
    </row>
    <row r="676">
      <c r="A676" s="6"/>
      <c r="B676" s="6"/>
      <c r="C676" s="6"/>
      <c r="D676" s="6"/>
      <c r="E676" s="6"/>
      <c r="F676" s="6"/>
      <c r="G676" s="6"/>
    </row>
    <row r="677">
      <c r="A677" s="6"/>
      <c r="B677" s="6"/>
      <c r="C677" s="6"/>
      <c r="D677" s="6"/>
      <c r="E677" s="6"/>
      <c r="F677" s="6"/>
      <c r="G677" s="6"/>
    </row>
    <row r="678">
      <c r="A678" s="6"/>
      <c r="B678" s="6"/>
      <c r="C678" s="6"/>
      <c r="D678" s="6"/>
      <c r="E678" s="6"/>
      <c r="F678" s="6"/>
      <c r="G678" s="6"/>
    </row>
    <row r="679">
      <c r="A679" s="6"/>
      <c r="B679" s="6"/>
      <c r="C679" s="6"/>
      <c r="D679" s="6"/>
      <c r="E679" s="6"/>
      <c r="F679" s="6"/>
      <c r="G679" s="6"/>
    </row>
    <row r="680">
      <c r="A680" s="6"/>
      <c r="B680" s="6"/>
      <c r="C680" s="6"/>
      <c r="D680" s="6"/>
      <c r="E680" s="6"/>
      <c r="F680" s="6"/>
      <c r="G680" s="6"/>
    </row>
    <row r="681">
      <c r="A681" s="6"/>
      <c r="B681" s="6"/>
      <c r="C681" s="6"/>
      <c r="D681" s="6"/>
      <c r="E681" s="6"/>
      <c r="F681" s="6"/>
      <c r="G681" s="6"/>
    </row>
    <row r="682">
      <c r="A682" s="6"/>
      <c r="B682" s="6"/>
      <c r="C682" s="6"/>
      <c r="D682" s="6"/>
      <c r="E682" s="6"/>
      <c r="F682" s="6"/>
      <c r="G682" s="6"/>
    </row>
    <row r="683">
      <c r="A683" s="6"/>
      <c r="B683" s="6"/>
      <c r="C683" s="6"/>
      <c r="D683" s="6"/>
      <c r="E683" s="6"/>
      <c r="F683" s="6"/>
      <c r="G683" s="6"/>
    </row>
    <row r="684">
      <c r="A684" s="6"/>
      <c r="B684" s="6"/>
      <c r="C684" s="6"/>
      <c r="D684" s="6"/>
      <c r="E684" s="6"/>
      <c r="F684" s="6"/>
      <c r="G684" s="6"/>
    </row>
    <row r="685">
      <c r="A685" s="6"/>
      <c r="B685" s="6"/>
      <c r="C685" s="6"/>
      <c r="D685" s="6"/>
      <c r="E685" s="6"/>
      <c r="F685" s="6"/>
      <c r="G685" s="6"/>
    </row>
    <row r="686">
      <c r="A686" s="6"/>
      <c r="B686" s="6"/>
      <c r="C686" s="6"/>
      <c r="D686" s="6"/>
      <c r="E686" s="6"/>
      <c r="F686" s="6"/>
      <c r="G686" s="6"/>
    </row>
    <row r="687">
      <c r="A687" s="6"/>
      <c r="B687" s="6"/>
      <c r="C687" s="6"/>
      <c r="D687" s="6"/>
      <c r="E687" s="6"/>
      <c r="F687" s="6"/>
      <c r="G687" s="6"/>
    </row>
    <row r="688">
      <c r="A688" s="6"/>
      <c r="B688" s="6"/>
      <c r="C688" s="6"/>
      <c r="D688" s="6"/>
      <c r="E688" s="6"/>
      <c r="F688" s="6"/>
      <c r="G688" s="6"/>
    </row>
    <row r="689">
      <c r="A689" s="6"/>
      <c r="B689" s="6"/>
      <c r="C689" s="6"/>
      <c r="D689" s="6"/>
      <c r="E689" s="6"/>
      <c r="F689" s="6"/>
      <c r="G689" s="6"/>
    </row>
    <row r="690">
      <c r="A690" s="6"/>
      <c r="B690" s="6"/>
      <c r="C690" s="6"/>
      <c r="D690" s="6"/>
      <c r="E690" s="6"/>
      <c r="F690" s="6"/>
      <c r="G690" s="6"/>
    </row>
    <row r="691">
      <c r="A691" s="6"/>
      <c r="B691" s="6"/>
      <c r="C691" s="6"/>
      <c r="D691" s="6"/>
      <c r="E691" s="6"/>
      <c r="F691" s="6"/>
      <c r="G691" s="6"/>
    </row>
    <row r="692">
      <c r="A692" s="6"/>
      <c r="B692" s="6"/>
      <c r="C692" s="6"/>
      <c r="D692" s="6"/>
      <c r="E692" s="6"/>
      <c r="F692" s="6"/>
      <c r="G692" s="6"/>
    </row>
    <row r="693">
      <c r="A693" s="6"/>
      <c r="B693" s="6"/>
      <c r="C693" s="6"/>
      <c r="D693" s="6"/>
      <c r="E693" s="6"/>
      <c r="F693" s="6"/>
      <c r="G693" s="6"/>
    </row>
    <row r="694">
      <c r="A694" s="6"/>
      <c r="B694" s="6"/>
      <c r="C694" s="6"/>
      <c r="D694" s="6"/>
      <c r="E694" s="6"/>
      <c r="F694" s="6"/>
      <c r="G694" s="6"/>
    </row>
    <row r="695">
      <c r="A695" s="6"/>
      <c r="B695" s="6"/>
      <c r="C695" s="6"/>
      <c r="D695" s="6"/>
      <c r="E695" s="6"/>
      <c r="F695" s="6"/>
      <c r="G695" s="6"/>
    </row>
    <row r="696">
      <c r="A696" s="6"/>
      <c r="B696" s="6"/>
      <c r="C696" s="6"/>
      <c r="D696" s="6"/>
      <c r="E696" s="6"/>
      <c r="F696" s="6"/>
      <c r="G696" s="6"/>
    </row>
    <row r="697">
      <c r="A697" s="6"/>
      <c r="B697" s="6"/>
      <c r="C697" s="6"/>
      <c r="D697" s="6"/>
      <c r="E697" s="6"/>
      <c r="F697" s="6"/>
      <c r="G697" s="6"/>
    </row>
    <row r="698">
      <c r="A698" s="6"/>
      <c r="B698" s="6"/>
      <c r="C698" s="6"/>
      <c r="D698" s="6"/>
      <c r="E698" s="6"/>
      <c r="F698" s="6"/>
      <c r="G698" s="6"/>
    </row>
    <row r="699">
      <c r="A699" s="6"/>
      <c r="B699" s="6"/>
      <c r="C699" s="6"/>
      <c r="D699" s="6"/>
      <c r="E699" s="6"/>
      <c r="F699" s="6"/>
      <c r="G699" s="6"/>
    </row>
    <row r="700">
      <c r="A700" s="6"/>
      <c r="B700" s="6"/>
      <c r="C700" s="6"/>
      <c r="D700" s="6"/>
      <c r="E700" s="6"/>
      <c r="F700" s="6"/>
      <c r="G700" s="6"/>
    </row>
    <row r="701">
      <c r="A701" s="6"/>
      <c r="B701" s="6"/>
      <c r="C701" s="6"/>
      <c r="D701" s="6"/>
      <c r="E701" s="6"/>
      <c r="F701" s="6"/>
      <c r="G701" s="6"/>
    </row>
    <row r="702">
      <c r="A702" s="6"/>
      <c r="B702" s="6"/>
      <c r="C702" s="6"/>
      <c r="D702" s="6"/>
      <c r="E702" s="6"/>
      <c r="F702" s="6"/>
      <c r="G702" s="6"/>
    </row>
    <row r="703">
      <c r="A703" s="6"/>
      <c r="B703" s="6"/>
      <c r="C703" s="6"/>
      <c r="D703" s="6"/>
      <c r="E703" s="6"/>
      <c r="F703" s="6"/>
      <c r="G703" s="6"/>
    </row>
    <row r="704">
      <c r="A704" s="6"/>
      <c r="B704" s="6"/>
      <c r="C704" s="6"/>
      <c r="D704" s="6"/>
      <c r="E704" s="6"/>
      <c r="F704" s="6"/>
      <c r="G704" s="6"/>
    </row>
    <row r="705">
      <c r="A705" s="6"/>
      <c r="B705" s="6"/>
      <c r="C705" s="6"/>
      <c r="D705" s="6"/>
      <c r="E705" s="6"/>
      <c r="F705" s="6"/>
      <c r="G705" s="6"/>
    </row>
    <row r="706">
      <c r="A706" s="6"/>
      <c r="B706" s="6"/>
      <c r="C706" s="6"/>
      <c r="D706" s="6"/>
      <c r="E706" s="6"/>
      <c r="F706" s="6"/>
      <c r="G706" s="6"/>
    </row>
    <row r="707">
      <c r="A707" s="6"/>
      <c r="B707" s="6"/>
      <c r="C707" s="6"/>
      <c r="D707" s="6"/>
      <c r="E707" s="6"/>
      <c r="F707" s="6"/>
      <c r="G707" s="6"/>
    </row>
    <row r="708">
      <c r="A708" s="6"/>
      <c r="B708" s="6"/>
      <c r="C708" s="6"/>
      <c r="D708" s="6"/>
      <c r="E708" s="6"/>
      <c r="F708" s="6"/>
      <c r="G708" s="6"/>
    </row>
    <row r="709">
      <c r="A709" s="6"/>
      <c r="B709" s="6"/>
      <c r="C709" s="6"/>
      <c r="D709" s="6"/>
      <c r="E709" s="6"/>
      <c r="F709" s="6"/>
      <c r="G709" s="6"/>
    </row>
    <row r="710">
      <c r="A710" s="6"/>
      <c r="B710" s="6"/>
      <c r="C710" s="6"/>
      <c r="D710" s="6"/>
      <c r="E710" s="6"/>
      <c r="F710" s="6"/>
      <c r="G710" s="6"/>
    </row>
    <row r="711">
      <c r="A711" s="6"/>
      <c r="B711" s="6"/>
      <c r="C711" s="6"/>
      <c r="D711" s="6"/>
      <c r="E711" s="6"/>
      <c r="F711" s="6"/>
      <c r="G711" s="6"/>
    </row>
    <row r="712">
      <c r="A712" s="6"/>
      <c r="B712" s="6"/>
      <c r="C712" s="6"/>
      <c r="D712" s="6"/>
      <c r="E712" s="6"/>
      <c r="F712" s="6"/>
      <c r="G712" s="6"/>
    </row>
    <row r="713">
      <c r="A713" s="6"/>
      <c r="B713" s="6"/>
      <c r="C713" s="6"/>
      <c r="D713" s="6"/>
      <c r="E713" s="6"/>
      <c r="F713" s="6"/>
      <c r="G713" s="6"/>
    </row>
    <row r="714">
      <c r="A714" s="6"/>
      <c r="B714" s="6"/>
      <c r="C714" s="6"/>
      <c r="D714" s="6"/>
      <c r="E714" s="6"/>
      <c r="F714" s="6"/>
      <c r="G714" s="6"/>
    </row>
    <row r="715">
      <c r="A715" s="6"/>
      <c r="B715" s="6"/>
      <c r="C715" s="6"/>
      <c r="D715" s="6"/>
      <c r="E715" s="6"/>
      <c r="F715" s="6"/>
      <c r="G715" s="6"/>
    </row>
    <row r="716">
      <c r="A716" s="6"/>
      <c r="B716" s="6"/>
      <c r="C716" s="6"/>
      <c r="D716" s="6"/>
      <c r="E716" s="6"/>
      <c r="F716" s="6"/>
      <c r="G716" s="6"/>
    </row>
    <row r="717">
      <c r="A717" s="6"/>
      <c r="B717" s="6"/>
      <c r="C717" s="6"/>
      <c r="D717" s="6"/>
      <c r="E717" s="6"/>
      <c r="F717" s="6"/>
      <c r="G717" s="6"/>
    </row>
    <row r="718">
      <c r="A718" s="6"/>
      <c r="B718" s="6"/>
      <c r="C718" s="6"/>
      <c r="D718" s="6"/>
      <c r="E718" s="6"/>
      <c r="F718" s="6"/>
      <c r="G718" s="6"/>
    </row>
    <row r="719">
      <c r="A719" s="6"/>
      <c r="B719" s="6"/>
      <c r="C719" s="6"/>
      <c r="D719" s="6"/>
      <c r="E719" s="6"/>
      <c r="F719" s="6"/>
      <c r="G719" s="6"/>
    </row>
    <row r="720">
      <c r="A720" s="6"/>
      <c r="B720" s="6"/>
      <c r="C720" s="6"/>
      <c r="D720" s="6"/>
      <c r="E720" s="6"/>
      <c r="F720" s="6"/>
      <c r="G720" s="6"/>
    </row>
    <row r="721">
      <c r="A721" s="6"/>
      <c r="B721" s="6"/>
      <c r="C721" s="6"/>
      <c r="D721" s="6"/>
      <c r="E721" s="6"/>
      <c r="F721" s="6"/>
      <c r="G721" s="6"/>
    </row>
    <row r="722">
      <c r="A722" s="6"/>
      <c r="B722" s="6"/>
      <c r="C722" s="6"/>
      <c r="D722" s="6"/>
      <c r="E722" s="6"/>
      <c r="F722" s="6"/>
      <c r="G722" s="6"/>
    </row>
    <row r="723">
      <c r="A723" s="6"/>
      <c r="B723" s="6"/>
      <c r="C723" s="6"/>
      <c r="D723" s="6"/>
      <c r="E723" s="6"/>
      <c r="F723" s="6"/>
      <c r="G723" s="6"/>
    </row>
    <row r="724">
      <c r="A724" s="6"/>
      <c r="B724" s="6"/>
      <c r="C724" s="6"/>
      <c r="D724" s="6"/>
      <c r="E724" s="6"/>
      <c r="F724" s="6"/>
      <c r="G724" s="6"/>
    </row>
    <row r="725">
      <c r="A725" s="6"/>
      <c r="B725" s="6"/>
      <c r="C725" s="6"/>
      <c r="D725" s="6"/>
      <c r="E725" s="6"/>
      <c r="F725" s="6"/>
      <c r="G725" s="6"/>
    </row>
    <row r="726">
      <c r="A726" s="6"/>
      <c r="B726" s="6"/>
      <c r="C726" s="6"/>
      <c r="D726" s="6"/>
      <c r="E726" s="6"/>
      <c r="F726" s="6"/>
      <c r="G726" s="6"/>
    </row>
    <row r="727">
      <c r="A727" s="6"/>
      <c r="B727" s="6"/>
      <c r="C727" s="6"/>
      <c r="D727" s="6"/>
      <c r="E727" s="6"/>
      <c r="F727" s="6"/>
      <c r="G727" s="6"/>
    </row>
    <row r="728">
      <c r="A728" s="6"/>
      <c r="B728" s="6"/>
      <c r="C728" s="6"/>
      <c r="D728" s="6"/>
      <c r="E728" s="6"/>
      <c r="F728" s="6"/>
      <c r="G728" s="6"/>
    </row>
    <row r="729">
      <c r="A729" s="6"/>
      <c r="B729" s="6"/>
      <c r="C729" s="6"/>
      <c r="D729" s="6"/>
      <c r="E729" s="6"/>
      <c r="F729" s="6"/>
      <c r="G729" s="6"/>
    </row>
    <row r="730">
      <c r="A730" s="6"/>
      <c r="B730" s="6"/>
      <c r="C730" s="6"/>
      <c r="D730" s="6"/>
      <c r="E730" s="6"/>
      <c r="F730" s="6"/>
      <c r="G730" s="6"/>
    </row>
    <row r="731">
      <c r="A731" s="6"/>
      <c r="B731" s="6"/>
      <c r="C731" s="6"/>
      <c r="D731" s="6"/>
      <c r="E731" s="6"/>
      <c r="F731" s="6"/>
      <c r="G731" s="6"/>
    </row>
    <row r="732">
      <c r="A732" s="6"/>
      <c r="B732" s="6"/>
      <c r="C732" s="6"/>
      <c r="D732" s="6"/>
      <c r="E732" s="6"/>
      <c r="F732" s="6"/>
      <c r="G732" s="6"/>
    </row>
    <row r="733">
      <c r="A733" s="6"/>
      <c r="B733" s="6"/>
      <c r="C733" s="6"/>
      <c r="D733" s="6"/>
      <c r="E733" s="6"/>
      <c r="F733" s="6"/>
      <c r="G733" s="6"/>
    </row>
    <row r="734">
      <c r="A734" s="6"/>
      <c r="B734" s="6"/>
      <c r="C734" s="6"/>
      <c r="D734" s="6"/>
      <c r="E734" s="6"/>
      <c r="F734" s="6"/>
      <c r="G734" s="6"/>
    </row>
    <row r="735">
      <c r="A735" s="6"/>
      <c r="B735" s="6"/>
      <c r="C735" s="6"/>
      <c r="D735" s="6"/>
      <c r="E735" s="6"/>
      <c r="F735" s="6"/>
      <c r="G735" s="6"/>
    </row>
    <row r="736">
      <c r="A736" s="6"/>
      <c r="B736" s="6"/>
      <c r="C736" s="6"/>
      <c r="D736" s="6"/>
      <c r="E736" s="6"/>
      <c r="F736" s="6"/>
      <c r="G736" s="6"/>
    </row>
    <row r="737">
      <c r="A737" s="6"/>
      <c r="B737" s="6"/>
      <c r="C737" s="6"/>
      <c r="D737" s="6"/>
      <c r="E737" s="6"/>
      <c r="F737" s="6"/>
      <c r="G737" s="6"/>
    </row>
    <row r="738">
      <c r="A738" s="6"/>
      <c r="B738" s="6"/>
      <c r="C738" s="6"/>
      <c r="D738" s="6"/>
      <c r="E738" s="6"/>
      <c r="F738" s="6"/>
      <c r="G738" s="6"/>
    </row>
    <row r="739">
      <c r="A739" s="6"/>
      <c r="B739" s="6"/>
      <c r="C739" s="6"/>
      <c r="D739" s="6"/>
      <c r="E739" s="6"/>
      <c r="F739" s="6"/>
      <c r="G739" s="6"/>
    </row>
    <row r="740">
      <c r="A740" s="6"/>
      <c r="B740" s="6"/>
      <c r="C740" s="6"/>
      <c r="D740" s="6"/>
      <c r="E740" s="6"/>
      <c r="F740" s="6"/>
      <c r="G740" s="6"/>
    </row>
    <row r="741">
      <c r="A741" s="6"/>
      <c r="B741" s="6"/>
      <c r="C741" s="6"/>
      <c r="D741" s="6"/>
      <c r="E741" s="6"/>
      <c r="F741" s="6"/>
      <c r="G741" s="6"/>
    </row>
    <row r="742">
      <c r="A742" s="6"/>
      <c r="B742" s="6"/>
      <c r="C742" s="6"/>
      <c r="D742" s="6"/>
      <c r="E742" s="6"/>
      <c r="F742" s="6"/>
      <c r="G742" s="6"/>
    </row>
    <row r="743">
      <c r="A743" s="6"/>
      <c r="B743" s="6"/>
      <c r="C743" s="6"/>
      <c r="D743" s="6"/>
      <c r="E743" s="6"/>
      <c r="F743" s="6"/>
      <c r="G743" s="6"/>
    </row>
    <row r="744">
      <c r="A744" s="6"/>
      <c r="B744" s="6"/>
      <c r="C744" s="6"/>
      <c r="D744" s="6"/>
      <c r="E744" s="6"/>
      <c r="F744" s="6"/>
      <c r="G744" s="6"/>
    </row>
    <row r="745">
      <c r="A745" s="6"/>
      <c r="B745" s="6"/>
      <c r="C745" s="6"/>
      <c r="D745" s="6"/>
      <c r="E745" s="6"/>
      <c r="F745" s="6"/>
      <c r="G745" s="6"/>
    </row>
    <row r="746">
      <c r="A746" s="6"/>
      <c r="B746" s="6"/>
      <c r="C746" s="6"/>
      <c r="D746" s="6"/>
      <c r="E746" s="6"/>
      <c r="F746" s="6"/>
      <c r="G746" s="6"/>
    </row>
    <row r="747">
      <c r="A747" s="6"/>
      <c r="B747" s="6"/>
      <c r="C747" s="6"/>
      <c r="D747" s="6"/>
      <c r="E747" s="6"/>
      <c r="F747" s="6"/>
      <c r="G747" s="6"/>
    </row>
    <row r="748">
      <c r="A748" s="6"/>
      <c r="B748" s="6"/>
      <c r="C748" s="6"/>
      <c r="D748" s="6"/>
      <c r="E748" s="6"/>
      <c r="F748" s="6"/>
      <c r="G748" s="6"/>
    </row>
    <row r="749">
      <c r="A749" s="6"/>
      <c r="B749" s="6"/>
      <c r="C749" s="6"/>
      <c r="D749" s="6"/>
      <c r="E749" s="6"/>
      <c r="F749" s="6"/>
      <c r="G749" s="6"/>
    </row>
    <row r="750">
      <c r="A750" s="6"/>
      <c r="B750" s="6"/>
      <c r="C750" s="6"/>
      <c r="D750" s="6"/>
      <c r="E750" s="6"/>
      <c r="F750" s="6"/>
      <c r="G750" s="6"/>
    </row>
    <row r="751">
      <c r="A751" s="6"/>
      <c r="B751" s="6"/>
      <c r="C751" s="6"/>
      <c r="D751" s="6"/>
      <c r="E751" s="6"/>
      <c r="F751" s="6"/>
      <c r="G751" s="6"/>
    </row>
    <row r="752">
      <c r="A752" s="6"/>
      <c r="B752" s="6"/>
      <c r="C752" s="6"/>
      <c r="D752" s="6"/>
      <c r="E752" s="6"/>
      <c r="F752" s="6"/>
      <c r="G752" s="6"/>
    </row>
    <row r="753">
      <c r="A753" s="6"/>
      <c r="B753" s="6"/>
      <c r="C753" s="6"/>
      <c r="D753" s="6"/>
      <c r="E753" s="6"/>
      <c r="F753" s="6"/>
      <c r="G753" s="6"/>
    </row>
    <row r="754">
      <c r="A754" s="6"/>
      <c r="B754" s="6"/>
      <c r="C754" s="6"/>
      <c r="D754" s="6"/>
      <c r="E754" s="6"/>
      <c r="F754" s="6"/>
      <c r="G754" s="6"/>
    </row>
    <row r="755">
      <c r="A755" s="6"/>
      <c r="B755" s="6"/>
      <c r="C755" s="6"/>
      <c r="D755" s="6"/>
      <c r="E755" s="6"/>
      <c r="F755" s="6"/>
      <c r="G755" s="6"/>
    </row>
    <row r="756">
      <c r="A756" s="6"/>
      <c r="B756" s="6"/>
      <c r="C756" s="6"/>
      <c r="D756" s="6"/>
      <c r="E756" s="6"/>
      <c r="F756" s="6"/>
      <c r="G756" s="6"/>
    </row>
    <row r="757">
      <c r="A757" s="6"/>
      <c r="B757" s="6"/>
      <c r="C757" s="6"/>
      <c r="D757" s="6"/>
      <c r="E757" s="6"/>
      <c r="F757" s="6"/>
      <c r="G757" s="6"/>
    </row>
    <row r="758">
      <c r="A758" s="6"/>
      <c r="B758" s="6"/>
      <c r="C758" s="6"/>
      <c r="D758" s="6"/>
      <c r="E758" s="6"/>
      <c r="F758" s="6"/>
      <c r="G758" s="6"/>
    </row>
    <row r="759">
      <c r="A759" s="6"/>
      <c r="B759" s="6"/>
      <c r="C759" s="6"/>
      <c r="D759" s="6"/>
      <c r="E759" s="6"/>
      <c r="F759" s="6"/>
      <c r="G759" s="6"/>
    </row>
    <row r="760">
      <c r="A760" s="6"/>
      <c r="B760" s="6"/>
      <c r="C760" s="6"/>
      <c r="D760" s="6"/>
      <c r="E760" s="6"/>
      <c r="F760" s="6"/>
      <c r="G760" s="6"/>
    </row>
    <row r="761">
      <c r="A761" s="6"/>
      <c r="B761" s="6"/>
      <c r="C761" s="6"/>
      <c r="D761" s="6"/>
      <c r="E761" s="6"/>
      <c r="F761" s="6"/>
      <c r="G761" s="6"/>
    </row>
    <row r="762">
      <c r="A762" s="6"/>
      <c r="B762" s="6"/>
      <c r="C762" s="6"/>
      <c r="D762" s="6"/>
      <c r="E762" s="6"/>
      <c r="F762" s="6"/>
      <c r="G762" s="6"/>
    </row>
    <row r="763">
      <c r="A763" s="6"/>
      <c r="B763" s="6"/>
      <c r="C763" s="6"/>
      <c r="D763" s="6"/>
      <c r="E763" s="6"/>
      <c r="F763" s="6"/>
      <c r="G763" s="6"/>
    </row>
    <row r="764">
      <c r="A764" s="6"/>
      <c r="B764" s="6"/>
      <c r="C764" s="6"/>
      <c r="D764" s="6"/>
      <c r="E764" s="6"/>
      <c r="F764" s="6"/>
      <c r="G764" s="6"/>
    </row>
    <row r="765">
      <c r="A765" s="6"/>
      <c r="B765" s="6"/>
      <c r="C765" s="6"/>
      <c r="D765" s="6"/>
      <c r="E765" s="6"/>
      <c r="F765" s="6"/>
      <c r="G765" s="6"/>
    </row>
    <row r="766">
      <c r="A766" s="6"/>
      <c r="B766" s="6"/>
      <c r="C766" s="6"/>
      <c r="D766" s="6"/>
      <c r="E766" s="6"/>
      <c r="F766" s="6"/>
      <c r="G766" s="6"/>
    </row>
    <row r="767">
      <c r="A767" s="6"/>
      <c r="B767" s="6"/>
      <c r="C767" s="6"/>
      <c r="D767" s="6"/>
      <c r="E767" s="6"/>
      <c r="F767" s="6"/>
      <c r="G767" s="6"/>
    </row>
    <row r="768">
      <c r="A768" s="6"/>
      <c r="B768" s="6"/>
      <c r="C768" s="6"/>
      <c r="D768" s="6"/>
      <c r="E768" s="6"/>
      <c r="F768" s="6"/>
      <c r="G768" s="6"/>
    </row>
    <row r="769">
      <c r="A769" s="6"/>
      <c r="B769" s="6"/>
      <c r="C769" s="6"/>
      <c r="D769" s="6"/>
      <c r="E769" s="6"/>
      <c r="F769" s="6"/>
      <c r="G769" s="6"/>
    </row>
    <row r="770">
      <c r="A770" s="6"/>
      <c r="B770" s="6"/>
      <c r="C770" s="6"/>
      <c r="D770" s="6"/>
      <c r="E770" s="6"/>
      <c r="F770" s="6"/>
      <c r="G770" s="6"/>
    </row>
    <row r="771">
      <c r="A771" s="6"/>
      <c r="B771" s="6"/>
      <c r="C771" s="6"/>
      <c r="D771" s="6"/>
      <c r="E771" s="6"/>
      <c r="F771" s="6"/>
      <c r="G771" s="6"/>
    </row>
    <row r="772">
      <c r="A772" s="6"/>
      <c r="B772" s="6"/>
      <c r="C772" s="6"/>
      <c r="D772" s="6"/>
      <c r="E772" s="6"/>
      <c r="F772" s="6"/>
      <c r="G772" s="6"/>
    </row>
    <row r="773">
      <c r="A773" s="6"/>
      <c r="B773" s="6"/>
      <c r="C773" s="6"/>
      <c r="D773" s="6"/>
      <c r="E773" s="6"/>
      <c r="F773" s="6"/>
      <c r="G773" s="6"/>
    </row>
    <row r="774">
      <c r="A774" s="6"/>
      <c r="B774" s="6"/>
      <c r="C774" s="6"/>
      <c r="D774" s="6"/>
      <c r="E774" s="6"/>
      <c r="F774" s="6"/>
      <c r="G774" s="6"/>
    </row>
    <row r="775">
      <c r="A775" s="6"/>
      <c r="B775" s="6"/>
      <c r="C775" s="6"/>
      <c r="D775" s="6"/>
      <c r="E775" s="6"/>
      <c r="F775" s="6"/>
      <c r="G775" s="6"/>
    </row>
    <row r="776">
      <c r="A776" s="6"/>
      <c r="B776" s="6"/>
      <c r="C776" s="6"/>
      <c r="D776" s="6"/>
      <c r="E776" s="6"/>
      <c r="F776" s="6"/>
      <c r="G776" s="6"/>
    </row>
    <row r="777">
      <c r="A777" s="6"/>
      <c r="B777" s="6"/>
      <c r="C777" s="6"/>
      <c r="D777" s="6"/>
      <c r="E777" s="6"/>
      <c r="F777" s="6"/>
      <c r="G777" s="6"/>
    </row>
    <row r="778">
      <c r="A778" s="6"/>
      <c r="B778" s="6"/>
      <c r="C778" s="6"/>
      <c r="D778" s="6"/>
      <c r="E778" s="6"/>
      <c r="F778" s="6"/>
      <c r="G778" s="6"/>
    </row>
    <row r="779">
      <c r="A779" s="6"/>
      <c r="B779" s="6"/>
      <c r="C779" s="6"/>
      <c r="D779" s="6"/>
      <c r="E779" s="6"/>
      <c r="F779" s="6"/>
      <c r="G779" s="6"/>
    </row>
    <row r="780">
      <c r="A780" s="6"/>
      <c r="B780" s="6"/>
      <c r="C780" s="6"/>
      <c r="D780" s="6"/>
      <c r="E780" s="6"/>
      <c r="F780" s="6"/>
      <c r="G780" s="6"/>
    </row>
    <row r="781">
      <c r="A781" s="6"/>
      <c r="B781" s="6"/>
      <c r="C781" s="6"/>
      <c r="D781" s="6"/>
      <c r="E781" s="6"/>
      <c r="F781" s="6"/>
      <c r="G781" s="6"/>
    </row>
    <row r="782">
      <c r="A782" s="6"/>
      <c r="B782" s="6"/>
      <c r="C782" s="6"/>
      <c r="D782" s="6"/>
      <c r="E782" s="6"/>
      <c r="F782" s="6"/>
      <c r="G782" s="6"/>
    </row>
    <row r="783">
      <c r="A783" s="6"/>
      <c r="B783" s="6"/>
      <c r="C783" s="6"/>
      <c r="D783" s="6"/>
      <c r="E783" s="6"/>
      <c r="F783" s="6"/>
      <c r="G783" s="6"/>
    </row>
    <row r="784">
      <c r="A784" s="6"/>
      <c r="B784" s="6"/>
      <c r="C784" s="6"/>
      <c r="D784" s="6"/>
      <c r="E784" s="6"/>
      <c r="F784" s="6"/>
      <c r="G784" s="6"/>
    </row>
    <row r="785">
      <c r="A785" s="6"/>
      <c r="B785" s="6"/>
      <c r="C785" s="6"/>
      <c r="D785" s="6"/>
      <c r="E785" s="6"/>
      <c r="F785" s="6"/>
      <c r="G785" s="6"/>
    </row>
    <row r="786">
      <c r="A786" s="6"/>
      <c r="B786" s="6"/>
      <c r="C786" s="6"/>
      <c r="D786" s="6"/>
      <c r="E786" s="6"/>
      <c r="F786" s="6"/>
      <c r="G786" s="6"/>
    </row>
    <row r="787">
      <c r="A787" s="6"/>
      <c r="B787" s="6"/>
      <c r="C787" s="6"/>
      <c r="D787" s="6"/>
      <c r="E787" s="6"/>
      <c r="F787" s="6"/>
      <c r="G787" s="6"/>
    </row>
    <row r="788">
      <c r="A788" s="6"/>
      <c r="B788" s="6"/>
      <c r="C788" s="6"/>
      <c r="D788" s="6"/>
      <c r="E788" s="6"/>
      <c r="F788" s="6"/>
      <c r="G788" s="6"/>
    </row>
    <row r="789">
      <c r="A789" s="6"/>
      <c r="B789" s="6"/>
      <c r="C789" s="6"/>
      <c r="D789" s="6"/>
      <c r="E789" s="6"/>
      <c r="F789" s="6"/>
      <c r="G789" s="6"/>
    </row>
    <row r="790">
      <c r="A790" s="6"/>
      <c r="B790" s="6"/>
      <c r="C790" s="6"/>
      <c r="D790" s="6"/>
      <c r="E790" s="6"/>
      <c r="F790" s="6"/>
      <c r="G790" s="6"/>
    </row>
    <row r="791">
      <c r="A791" s="6"/>
      <c r="B791" s="6"/>
      <c r="C791" s="6"/>
      <c r="D791" s="6"/>
      <c r="E791" s="6"/>
      <c r="F791" s="6"/>
      <c r="G791" s="6"/>
    </row>
    <row r="792">
      <c r="A792" s="6"/>
      <c r="B792" s="6"/>
      <c r="C792" s="6"/>
      <c r="D792" s="6"/>
      <c r="E792" s="6"/>
      <c r="F792" s="6"/>
      <c r="G792" s="6"/>
    </row>
    <row r="793">
      <c r="A793" s="6"/>
      <c r="B793" s="6"/>
      <c r="C793" s="6"/>
      <c r="D793" s="6"/>
      <c r="E793" s="6"/>
      <c r="F793" s="6"/>
      <c r="G793" s="6"/>
    </row>
    <row r="794">
      <c r="A794" s="6"/>
      <c r="B794" s="6"/>
      <c r="C794" s="6"/>
      <c r="D794" s="6"/>
      <c r="E794" s="6"/>
      <c r="F794" s="6"/>
      <c r="G794" s="6"/>
    </row>
    <row r="795">
      <c r="A795" s="6"/>
      <c r="B795" s="6"/>
      <c r="C795" s="6"/>
      <c r="D795" s="6"/>
      <c r="E795" s="6"/>
      <c r="F795" s="6"/>
      <c r="G795" s="6"/>
    </row>
    <row r="796">
      <c r="A796" s="6"/>
      <c r="B796" s="6"/>
      <c r="C796" s="6"/>
      <c r="D796" s="6"/>
      <c r="E796" s="6"/>
      <c r="F796" s="6"/>
      <c r="G796" s="6"/>
    </row>
    <row r="797">
      <c r="A797" s="6"/>
      <c r="B797" s="6"/>
      <c r="C797" s="6"/>
      <c r="D797" s="6"/>
      <c r="E797" s="6"/>
      <c r="F797" s="6"/>
      <c r="G797" s="6"/>
    </row>
    <row r="798">
      <c r="A798" s="6"/>
      <c r="B798" s="6"/>
      <c r="C798" s="6"/>
      <c r="D798" s="6"/>
      <c r="E798" s="6"/>
      <c r="F798" s="6"/>
      <c r="G798" s="6"/>
    </row>
    <row r="799">
      <c r="A799" s="6"/>
      <c r="B799" s="6"/>
      <c r="C799" s="6"/>
      <c r="D799" s="6"/>
      <c r="E799" s="6"/>
      <c r="F799" s="6"/>
      <c r="G799" s="6"/>
    </row>
    <row r="800">
      <c r="A800" s="6"/>
      <c r="B800" s="6"/>
      <c r="C800" s="6"/>
      <c r="D800" s="6"/>
      <c r="E800" s="6"/>
      <c r="F800" s="6"/>
      <c r="G800" s="6"/>
    </row>
    <row r="801">
      <c r="A801" s="6"/>
      <c r="B801" s="6"/>
      <c r="C801" s="6"/>
      <c r="D801" s="6"/>
      <c r="E801" s="6"/>
      <c r="F801" s="6"/>
      <c r="G801" s="6"/>
    </row>
    <row r="802">
      <c r="A802" s="6"/>
      <c r="B802" s="6"/>
      <c r="C802" s="6"/>
      <c r="D802" s="6"/>
      <c r="E802" s="6"/>
      <c r="F802" s="6"/>
      <c r="G802" s="6"/>
    </row>
    <row r="803">
      <c r="A803" s="6"/>
      <c r="B803" s="6"/>
      <c r="C803" s="6"/>
      <c r="D803" s="6"/>
      <c r="E803" s="6"/>
      <c r="F803" s="6"/>
      <c r="G803" s="6"/>
    </row>
    <row r="804">
      <c r="A804" s="6"/>
      <c r="B804" s="6"/>
      <c r="C804" s="6"/>
      <c r="D804" s="6"/>
      <c r="E804" s="6"/>
      <c r="F804" s="6"/>
      <c r="G804" s="6"/>
    </row>
    <row r="805">
      <c r="A805" s="6"/>
      <c r="B805" s="6"/>
      <c r="C805" s="6"/>
      <c r="D805" s="6"/>
      <c r="E805" s="6"/>
      <c r="F805" s="6"/>
      <c r="G805" s="6"/>
    </row>
    <row r="806">
      <c r="A806" s="6"/>
      <c r="B806" s="6"/>
      <c r="C806" s="6"/>
      <c r="D806" s="6"/>
      <c r="E806" s="6"/>
      <c r="F806" s="6"/>
      <c r="G806" s="6"/>
    </row>
    <row r="807">
      <c r="A807" s="6"/>
      <c r="B807" s="6"/>
      <c r="C807" s="6"/>
      <c r="D807" s="6"/>
      <c r="E807" s="6"/>
      <c r="F807" s="6"/>
      <c r="G807" s="6"/>
    </row>
    <row r="808">
      <c r="A808" s="6"/>
      <c r="B808" s="6"/>
      <c r="C808" s="6"/>
      <c r="D808" s="6"/>
      <c r="E808" s="6"/>
      <c r="F808" s="6"/>
      <c r="G808" s="6"/>
    </row>
    <row r="809">
      <c r="A809" s="6"/>
      <c r="B809" s="6"/>
      <c r="C809" s="6"/>
      <c r="D809" s="6"/>
      <c r="E809" s="6"/>
      <c r="F809" s="6"/>
      <c r="G809" s="6"/>
    </row>
    <row r="810">
      <c r="A810" s="6"/>
      <c r="B810" s="6"/>
      <c r="C810" s="6"/>
      <c r="D810" s="6"/>
      <c r="E810" s="6"/>
      <c r="F810" s="6"/>
      <c r="G810" s="6"/>
    </row>
    <row r="811">
      <c r="A811" s="6"/>
      <c r="B811" s="6"/>
      <c r="C811" s="6"/>
      <c r="D811" s="6"/>
      <c r="E811" s="6"/>
      <c r="F811" s="6"/>
      <c r="G811" s="6"/>
    </row>
    <row r="812">
      <c r="A812" s="6"/>
      <c r="B812" s="6"/>
      <c r="C812" s="6"/>
      <c r="D812" s="6"/>
      <c r="E812" s="6"/>
      <c r="F812" s="6"/>
      <c r="G812" s="6"/>
    </row>
    <row r="813">
      <c r="A813" s="6"/>
      <c r="B813" s="6"/>
      <c r="C813" s="6"/>
      <c r="D813" s="6"/>
      <c r="E813" s="6"/>
      <c r="F813" s="6"/>
      <c r="G813" s="6"/>
    </row>
    <row r="814">
      <c r="A814" s="6"/>
      <c r="B814" s="6"/>
      <c r="C814" s="6"/>
      <c r="D814" s="6"/>
      <c r="E814" s="6"/>
      <c r="F814" s="6"/>
      <c r="G814" s="6"/>
    </row>
    <row r="815">
      <c r="A815" s="6"/>
      <c r="B815" s="6"/>
      <c r="C815" s="6"/>
      <c r="D815" s="6"/>
      <c r="E815" s="6"/>
      <c r="F815" s="6"/>
      <c r="G815" s="6"/>
    </row>
    <row r="816">
      <c r="A816" s="6"/>
      <c r="B816" s="6"/>
      <c r="C816" s="6"/>
      <c r="D816" s="6"/>
      <c r="E816" s="6"/>
      <c r="F816" s="6"/>
      <c r="G816" s="6"/>
    </row>
    <row r="817">
      <c r="A817" s="6"/>
      <c r="B817" s="6"/>
      <c r="C817" s="6"/>
      <c r="D817" s="6"/>
      <c r="E817" s="6"/>
      <c r="F817" s="6"/>
      <c r="G817" s="6"/>
    </row>
    <row r="818">
      <c r="A818" s="6"/>
      <c r="B818" s="6"/>
      <c r="C818" s="6"/>
      <c r="D818" s="6"/>
      <c r="E818" s="6"/>
      <c r="F818" s="6"/>
      <c r="G818" s="6"/>
    </row>
    <row r="819">
      <c r="A819" s="6"/>
      <c r="B819" s="6"/>
      <c r="C819" s="6"/>
      <c r="D819" s="6"/>
      <c r="E819" s="6"/>
      <c r="F819" s="6"/>
      <c r="G819" s="6"/>
    </row>
    <row r="820">
      <c r="A820" s="6"/>
      <c r="B820" s="6"/>
      <c r="C820" s="6"/>
      <c r="D820" s="6"/>
      <c r="E820" s="6"/>
      <c r="F820" s="6"/>
      <c r="G820" s="6"/>
    </row>
    <row r="821">
      <c r="A821" s="6"/>
      <c r="B821" s="6"/>
      <c r="C821" s="6"/>
      <c r="D821" s="6"/>
      <c r="E821" s="6"/>
      <c r="F821" s="6"/>
      <c r="G821" s="6"/>
    </row>
    <row r="822">
      <c r="A822" s="6"/>
      <c r="B822" s="6"/>
      <c r="C822" s="6"/>
      <c r="D822" s="6"/>
      <c r="E822" s="6"/>
      <c r="F822" s="6"/>
      <c r="G822" s="6"/>
    </row>
    <row r="823">
      <c r="A823" s="6"/>
      <c r="B823" s="6"/>
      <c r="C823" s="6"/>
      <c r="D823" s="6"/>
      <c r="E823" s="6"/>
      <c r="F823" s="6"/>
      <c r="G823" s="6"/>
    </row>
    <row r="824">
      <c r="A824" s="6"/>
      <c r="B824" s="6"/>
      <c r="C824" s="6"/>
      <c r="D824" s="6"/>
      <c r="E824" s="6"/>
      <c r="F824" s="6"/>
      <c r="G824" s="6"/>
    </row>
    <row r="825">
      <c r="A825" s="6"/>
      <c r="B825" s="6"/>
      <c r="C825" s="6"/>
      <c r="D825" s="6"/>
      <c r="E825" s="6"/>
      <c r="F825" s="6"/>
      <c r="G825" s="6"/>
    </row>
    <row r="826">
      <c r="A826" s="6"/>
      <c r="B826" s="6"/>
      <c r="C826" s="6"/>
      <c r="D826" s="6"/>
      <c r="E826" s="6"/>
      <c r="F826" s="6"/>
      <c r="G826" s="6"/>
    </row>
    <row r="827">
      <c r="A827" s="6"/>
      <c r="B827" s="6"/>
      <c r="C827" s="6"/>
      <c r="D827" s="6"/>
      <c r="E827" s="6"/>
      <c r="F827" s="6"/>
      <c r="G827" s="6"/>
    </row>
    <row r="828">
      <c r="A828" s="6"/>
      <c r="B828" s="6"/>
      <c r="C828" s="6"/>
      <c r="D828" s="6"/>
      <c r="E828" s="6"/>
      <c r="F828" s="6"/>
      <c r="G828" s="6"/>
    </row>
    <row r="829">
      <c r="A829" s="6"/>
      <c r="B829" s="6"/>
      <c r="C829" s="6"/>
      <c r="D829" s="6"/>
      <c r="E829" s="6"/>
      <c r="F829" s="6"/>
      <c r="G829" s="6"/>
    </row>
    <row r="830">
      <c r="A830" s="6"/>
      <c r="B830" s="6"/>
      <c r="C830" s="6"/>
      <c r="D830" s="6"/>
      <c r="E830" s="6"/>
      <c r="F830" s="6"/>
      <c r="G830" s="6"/>
    </row>
    <row r="831">
      <c r="A831" s="6"/>
      <c r="B831" s="6"/>
      <c r="C831" s="6"/>
      <c r="D831" s="6"/>
      <c r="E831" s="6"/>
      <c r="F831" s="6"/>
      <c r="G831" s="6"/>
    </row>
    <row r="832">
      <c r="A832" s="6"/>
      <c r="B832" s="6"/>
      <c r="C832" s="6"/>
      <c r="D832" s="6"/>
      <c r="E832" s="6"/>
      <c r="F832" s="6"/>
      <c r="G832" s="6"/>
    </row>
    <row r="833">
      <c r="A833" s="6"/>
      <c r="B833" s="6"/>
      <c r="C833" s="6"/>
      <c r="D833" s="6"/>
      <c r="E833" s="6"/>
      <c r="F833" s="6"/>
      <c r="G833" s="6"/>
    </row>
    <row r="834">
      <c r="A834" s="6"/>
      <c r="B834" s="6"/>
      <c r="C834" s="6"/>
      <c r="D834" s="6"/>
      <c r="E834" s="6"/>
      <c r="F834" s="6"/>
      <c r="G834" s="6"/>
    </row>
    <row r="835">
      <c r="A835" s="6"/>
      <c r="B835" s="6"/>
      <c r="C835" s="6"/>
      <c r="D835" s="6"/>
      <c r="E835" s="6"/>
      <c r="F835" s="6"/>
      <c r="G835" s="6"/>
    </row>
    <row r="836">
      <c r="A836" s="6"/>
      <c r="B836" s="6"/>
      <c r="C836" s="6"/>
      <c r="D836" s="6"/>
      <c r="E836" s="6"/>
      <c r="F836" s="6"/>
      <c r="G836" s="6"/>
    </row>
    <row r="837">
      <c r="A837" s="6"/>
      <c r="B837" s="6"/>
      <c r="C837" s="6"/>
      <c r="D837" s="6"/>
      <c r="E837" s="6"/>
      <c r="F837" s="6"/>
      <c r="G837" s="6"/>
    </row>
    <row r="838">
      <c r="A838" s="6"/>
      <c r="B838" s="6"/>
      <c r="C838" s="6"/>
      <c r="D838" s="6"/>
      <c r="E838" s="6"/>
      <c r="F838" s="6"/>
      <c r="G838" s="6"/>
    </row>
    <row r="839">
      <c r="A839" s="6"/>
      <c r="B839" s="6"/>
      <c r="C839" s="6"/>
      <c r="D839" s="6"/>
      <c r="E839" s="6"/>
      <c r="F839" s="6"/>
      <c r="G839" s="6"/>
    </row>
    <row r="840">
      <c r="A840" s="6"/>
      <c r="B840" s="6"/>
      <c r="C840" s="6"/>
      <c r="D840" s="6"/>
      <c r="E840" s="6"/>
      <c r="F840" s="6"/>
      <c r="G840" s="6"/>
    </row>
    <row r="841">
      <c r="A841" s="6"/>
      <c r="B841" s="6"/>
      <c r="C841" s="6"/>
      <c r="D841" s="6"/>
      <c r="E841" s="6"/>
      <c r="F841" s="6"/>
      <c r="G841" s="6"/>
    </row>
    <row r="842">
      <c r="A842" s="6"/>
      <c r="B842" s="6"/>
      <c r="C842" s="6"/>
      <c r="D842" s="6"/>
      <c r="E842" s="6"/>
      <c r="F842" s="6"/>
      <c r="G842" s="6"/>
    </row>
    <row r="843">
      <c r="A843" s="6"/>
      <c r="B843" s="6"/>
      <c r="C843" s="6"/>
      <c r="D843" s="6"/>
      <c r="E843" s="6"/>
      <c r="F843" s="6"/>
      <c r="G843" s="6"/>
    </row>
    <row r="844">
      <c r="A844" s="6"/>
      <c r="B844" s="6"/>
      <c r="C844" s="6"/>
      <c r="D844" s="6"/>
      <c r="E844" s="6"/>
      <c r="F844" s="6"/>
      <c r="G844" s="6"/>
    </row>
    <row r="845">
      <c r="A845" s="6"/>
      <c r="B845" s="6"/>
      <c r="C845" s="6"/>
      <c r="D845" s="6"/>
      <c r="E845" s="6"/>
      <c r="F845" s="6"/>
      <c r="G845" s="6"/>
    </row>
    <row r="846">
      <c r="A846" s="6"/>
      <c r="B846" s="6"/>
      <c r="C846" s="6"/>
      <c r="D846" s="6"/>
      <c r="E846" s="6"/>
      <c r="F846" s="6"/>
      <c r="G846" s="6"/>
    </row>
    <row r="847">
      <c r="A847" s="6"/>
      <c r="B847" s="6"/>
      <c r="C847" s="6"/>
      <c r="D847" s="6"/>
      <c r="E847" s="6"/>
      <c r="F847" s="6"/>
      <c r="G847" s="6"/>
    </row>
    <row r="848">
      <c r="A848" s="6"/>
      <c r="B848" s="6"/>
      <c r="C848" s="6"/>
      <c r="D848" s="6"/>
      <c r="E848" s="6"/>
      <c r="F848" s="6"/>
      <c r="G848" s="6"/>
    </row>
    <row r="849">
      <c r="A849" s="6"/>
      <c r="B849" s="6"/>
      <c r="C849" s="6"/>
      <c r="D849" s="6"/>
      <c r="E849" s="6"/>
      <c r="F849" s="6"/>
      <c r="G849" s="6"/>
    </row>
    <row r="850">
      <c r="A850" s="6"/>
      <c r="B850" s="6"/>
      <c r="C850" s="6"/>
      <c r="D850" s="6"/>
      <c r="E850" s="6"/>
      <c r="F850" s="6"/>
      <c r="G850" s="6"/>
    </row>
    <row r="851">
      <c r="A851" s="6"/>
      <c r="B851" s="6"/>
      <c r="C851" s="6"/>
      <c r="D851" s="6"/>
      <c r="E851" s="6"/>
      <c r="F851" s="6"/>
      <c r="G851" s="6"/>
    </row>
    <row r="852">
      <c r="A852" s="6"/>
      <c r="B852" s="6"/>
      <c r="C852" s="6"/>
      <c r="D852" s="6"/>
      <c r="E852" s="6"/>
      <c r="F852" s="6"/>
      <c r="G852" s="6"/>
    </row>
    <row r="853">
      <c r="A853" s="6"/>
      <c r="B853" s="6"/>
      <c r="C853" s="6"/>
      <c r="D853" s="6"/>
      <c r="E853" s="6"/>
      <c r="F853" s="6"/>
      <c r="G853" s="6"/>
    </row>
    <row r="854">
      <c r="A854" s="6"/>
      <c r="B854" s="6"/>
      <c r="C854" s="6"/>
      <c r="D854" s="6"/>
      <c r="E854" s="6"/>
      <c r="F854" s="6"/>
      <c r="G854" s="6"/>
    </row>
    <row r="855">
      <c r="A855" s="6"/>
      <c r="B855" s="6"/>
      <c r="C855" s="6"/>
      <c r="D855" s="6"/>
      <c r="E855" s="6"/>
      <c r="F855" s="6"/>
      <c r="G855" s="6"/>
    </row>
    <row r="856">
      <c r="A856" s="6"/>
      <c r="B856" s="6"/>
      <c r="C856" s="6"/>
      <c r="D856" s="6"/>
      <c r="E856" s="6"/>
      <c r="F856" s="6"/>
      <c r="G856" s="6"/>
    </row>
    <row r="857">
      <c r="A857" s="6"/>
      <c r="B857" s="6"/>
      <c r="C857" s="6"/>
      <c r="D857" s="6"/>
      <c r="E857" s="6"/>
      <c r="F857" s="6"/>
      <c r="G857" s="6"/>
    </row>
    <row r="858">
      <c r="A858" s="6"/>
      <c r="B858" s="6"/>
      <c r="C858" s="6"/>
      <c r="D858" s="6"/>
      <c r="E858" s="6"/>
      <c r="F858" s="6"/>
      <c r="G858" s="6"/>
    </row>
    <row r="859">
      <c r="A859" s="6"/>
      <c r="B859" s="6"/>
      <c r="C859" s="6"/>
      <c r="D859" s="6"/>
      <c r="E859" s="6"/>
      <c r="F859" s="6"/>
      <c r="G859" s="6"/>
    </row>
    <row r="860">
      <c r="A860" s="6"/>
      <c r="B860" s="6"/>
      <c r="C860" s="6"/>
      <c r="D860" s="6"/>
      <c r="E860" s="6"/>
      <c r="F860" s="6"/>
      <c r="G860" s="6"/>
    </row>
    <row r="861">
      <c r="A861" s="6"/>
      <c r="B861" s="6"/>
      <c r="C861" s="6"/>
      <c r="D861" s="6"/>
      <c r="E861" s="6"/>
      <c r="F861" s="6"/>
      <c r="G861" s="6"/>
    </row>
    <row r="862">
      <c r="A862" s="6"/>
      <c r="B862" s="6"/>
      <c r="C862" s="6"/>
      <c r="D862" s="6"/>
      <c r="E862" s="6"/>
      <c r="F862" s="6"/>
      <c r="G862" s="6"/>
    </row>
    <row r="863">
      <c r="A863" s="6"/>
      <c r="B863" s="6"/>
      <c r="C863" s="6"/>
      <c r="D863" s="6"/>
      <c r="E863" s="6"/>
      <c r="F863" s="6"/>
      <c r="G863" s="6"/>
    </row>
    <row r="864">
      <c r="A864" s="6"/>
      <c r="B864" s="6"/>
      <c r="C864" s="6"/>
      <c r="D864" s="6"/>
      <c r="E864" s="6"/>
      <c r="F864" s="6"/>
      <c r="G864" s="6"/>
    </row>
    <row r="865">
      <c r="A865" s="6"/>
      <c r="B865" s="6"/>
      <c r="C865" s="6"/>
      <c r="D865" s="6"/>
      <c r="E865" s="6"/>
      <c r="F865" s="6"/>
      <c r="G865" s="6"/>
    </row>
    <row r="866">
      <c r="A866" s="6"/>
      <c r="B866" s="6"/>
      <c r="C866" s="6"/>
      <c r="D866" s="6"/>
      <c r="E866" s="6"/>
      <c r="F866" s="6"/>
      <c r="G866" s="6"/>
    </row>
    <row r="867">
      <c r="A867" s="6"/>
      <c r="B867" s="6"/>
      <c r="C867" s="6"/>
      <c r="D867" s="6"/>
      <c r="E867" s="6"/>
      <c r="F867" s="6"/>
      <c r="G867" s="6"/>
    </row>
    <row r="868">
      <c r="A868" s="6"/>
      <c r="B868" s="6"/>
      <c r="C868" s="6"/>
      <c r="D868" s="6"/>
      <c r="E868" s="6"/>
      <c r="F868" s="6"/>
      <c r="G868" s="6"/>
    </row>
    <row r="869">
      <c r="A869" s="6"/>
      <c r="B869" s="6"/>
      <c r="C869" s="6"/>
      <c r="D869" s="6"/>
      <c r="E869" s="6"/>
      <c r="F869" s="6"/>
      <c r="G869" s="6"/>
    </row>
    <row r="870">
      <c r="A870" s="6"/>
      <c r="B870" s="6"/>
      <c r="C870" s="6"/>
      <c r="D870" s="6"/>
      <c r="E870" s="6"/>
      <c r="F870" s="6"/>
      <c r="G870" s="6"/>
    </row>
    <row r="871">
      <c r="A871" s="6"/>
      <c r="B871" s="6"/>
      <c r="C871" s="6"/>
      <c r="D871" s="6"/>
      <c r="E871" s="6"/>
      <c r="F871" s="6"/>
      <c r="G871" s="6"/>
    </row>
    <row r="872">
      <c r="A872" s="6"/>
      <c r="B872" s="6"/>
      <c r="C872" s="6"/>
      <c r="D872" s="6"/>
      <c r="E872" s="6"/>
      <c r="F872" s="6"/>
      <c r="G872" s="6"/>
    </row>
    <row r="873">
      <c r="A873" s="6"/>
      <c r="B873" s="6"/>
      <c r="C873" s="6"/>
      <c r="D873" s="6"/>
      <c r="E873" s="6"/>
      <c r="F873" s="6"/>
      <c r="G873" s="6"/>
    </row>
    <row r="874">
      <c r="A874" s="6"/>
      <c r="B874" s="6"/>
      <c r="C874" s="6"/>
      <c r="D874" s="6"/>
      <c r="E874" s="6"/>
      <c r="F874" s="6"/>
      <c r="G874" s="6"/>
    </row>
    <row r="875">
      <c r="A875" s="6"/>
      <c r="B875" s="6"/>
      <c r="C875" s="6"/>
      <c r="D875" s="6"/>
      <c r="E875" s="6"/>
      <c r="F875" s="6"/>
      <c r="G875" s="6"/>
    </row>
    <row r="876">
      <c r="A876" s="6"/>
      <c r="B876" s="6"/>
      <c r="C876" s="6"/>
      <c r="D876" s="6"/>
      <c r="E876" s="6"/>
      <c r="F876" s="6"/>
      <c r="G876" s="6"/>
    </row>
    <row r="877">
      <c r="A877" s="6"/>
      <c r="B877" s="6"/>
      <c r="C877" s="6"/>
      <c r="D877" s="6"/>
      <c r="E877" s="6"/>
      <c r="F877" s="6"/>
      <c r="G877" s="6"/>
    </row>
    <row r="878">
      <c r="A878" s="6"/>
      <c r="B878" s="6"/>
      <c r="C878" s="6"/>
      <c r="D878" s="6"/>
      <c r="E878" s="6"/>
      <c r="F878" s="6"/>
      <c r="G878" s="6"/>
    </row>
    <row r="879">
      <c r="A879" s="6"/>
      <c r="B879" s="6"/>
      <c r="C879" s="6"/>
      <c r="D879" s="6"/>
      <c r="E879" s="6"/>
      <c r="F879" s="6"/>
      <c r="G879" s="6"/>
    </row>
    <row r="880">
      <c r="A880" s="6"/>
      <c r="B880" s="6"/>
      <c r="C880" s="6"/>
      <c r="D880" s="6"/>
      <c r="E880" s="6"/>
      <c r="F880" s="6"/>
      <c r="G880" s="6"/>
    </row>
    <row r="881">
      <c r="A881" s="6"/>
      <c r="B881" s="6"/>
      <c r="C881" s="6"/>
      <c r="D881" s="6"/>
      <c r="E881" s="6"/>
      <c r="F881" s="6"/>
      <c r="G881" s="6"/>
    </row>
    <row r="882">
      <c r="A882" s="6"/>
      <c r="B882" s="6"/>
      <c r="C882" s="6"/>
      <c r="D882" s="6"/>
      <c r="E882" s="6"/>
      <c r="F882" s="6"/>
      <c r="G882" s="6"/>
    </row>
    <row r="883">
      <c r="A883" s="6"/>
      <c r="B883" s="6"/>
      <c r="C883" s="6"/>
      <c r="D883" s="6"/>
      <c r="E883" s="6"/>
      <c r="F883" s="6"/>
      <c r="G883" s="6"/>
    </row>
    <row r="884">
      <c r="A884" s="6"/>
      <c r="B884" s="6"/>
      <c r="C884" s="6"/>
      <c r="D884" s="6"/>
      <c r="E884" s="6"/>
      <c r="F884" s="6"/>
      <c r="G884" s="6"/>
    </row>
    <row r="885">
      <c r="A885" s="6"/>
      <c r="B885" s="6"/>
      <c r="C885" s="6"/>
      <c r="D885" s="6"/>
      <c r="E885" s="6"/>
      <c r="F885" s="6"/>
      <c r="G885" s="6"/>
    </row>
    <row r="886">
      <c r="A886" s="6"/>
      <c r="B886" s="6"/>
      <c r="C886" s="6"/>
      <c r="D886" s="6"/>
      <c r="E886" s="6"/>
      <c r="F886" s="6"/>
      <c r="G886" s="6"/>
    </row>
    <row r="887">
      <c r="A887" s="6"/>
      <c r="B887" s="6"/>
      <c r="C887" s="6"/>
      <c r="D887" s="6"/>
      <c r="E887" s="6"/>
      <c r="F887" s="6"/>
      <c r="G887" s="6"/>
    </row>
    <row r="888">
      <c r="A888" s="6"/>
      <c r="B888" s="6"/>
      <c r="C888" s="6"/>
      <c r="D888" s="6"/>
      <c r="E888" s="6"/>
      <c r="F888" s="6"/>
      <c r="G888" s="6"/>
    </row>
    <row r="889">
      <c r="A889" s="6"/>
      <c r="B889" s="6"/>
      <c r="C889" s="6"/>
      <c r="D889" s="6"/>
      <c r="E889" s="6"/>
      <c r="F889" s="6"/>
      <c r="G889" s="6"/>
    </row>
    <row r="890">
      <c r="A890" s="6"/>
      <c r="B890" s="6"/>
      <c r="C890" s="6"/>
      <c r="D890" s="6"/>
      <c r="E890" s="6"/>
      <c r="F890" s="6"/>
      <c r="G890" s="6"/>
    </row>
    <row r="891">
      <c r="A891" s="6"/>
      <c r="B891" s="6"/>
      <c r="C891" s="6"/>
      <c r="D891" s="6"/>
      <c r="E891" s="6"/>
      <c r="F891" s="6"/>
      <c r="G891" s="6"/>
    </row>
    <row r="892">
      <c r="A892" s="6"/>
      <c r="B892" s="6"/>
      <c r="C892" s="6"/>
      <c r="D892" s="6"/>
      <c r="E892" s="6"/>
      <c r="F892" s="6"/>
      <c r="G892" s="6"/>
    </row>
    <row r="893">
      <c r="A893" s="6"/>
      <c r="B893" s="6"/>
      <c r="C893" s="6"/>
      <c r="D893" s="6"/>
      <c r="E893" s="6"/>
      <c r="F893" s="6"/>
      <c r="G893" s="6"/>
    </row>
    <row r="894">
      <c r="A894" s="6"/>
      <c r="B894" s="6"/>
      <c r="C894" s="6"/>
      <c r="D894" s="6"/>
      <c r="E894" s="6"/>
      <c r="F894" s="6"/>
      <c r="G894" s="6"/>
    </row>
    <row r="895">
      <c r="A895" s="6"/>
      <c r="B895" s="6"/>
      <c r="C895" s="6"/>
      <c r="D895" s="6"/>
      <c r="E895" s="6"/>
      <c r="F895" s="6"/>
      <c r="G895" s="6"/>
    </row>
    <row r="896">
      <c r="A896" s="6"/>
      <c r="B896" s="6"/>
      <c r="C896" s="6"/>
      <c r="D896" s="6"/>
      <c r="E896" s="6"/>
      <c r="F896" s="6"/>
      <c r="G896" s="6"/>
    </row>
    <row r="897">
      <c r="A897" s="6"/>
      <c r="B897" s="6"/>
      <c r="C897" s="6"/>
      <c r="D897" s="6"/>
      <c r="E897" s="6"/>
      <c r="F897" s="6"/>
      <c r="G897" s="6"/>
    </row>
    <row r="898">
      <c r="A898" s="6"/>
      <c r="B898" s="6"/>
      <c r="C898" s="6"/>
      <c r="D898" s="6"/>
      <c r="E898" s="6"/>
      <c r="F898" s="6"/>
      <c r="G898" s="6"/>
    </row>
    <row r="899">
      <c r="A899" s="6"/>
      <c r="B899" s="6"/>
      <c r="C899" s="6"/>
      <c r="D899" s="6"/>
      <c r="E899" s="6"/>
      <c r="F899" s="6"/>
      <c r="G899" s="6"/>
    </row>
    <row r="900">
      <c r="A900" s="6"/>
      <c r="B900" s="6"/>
      <c r="C900" s="6"/>
      <c r="D900" s="6"/>
      <c r="E900" s="6"/>
      <c r="F900" s="6"/>
      <c r="G900" s="6"/>
    </row>
    <row r="901">
      <c r="A901" s="6"/>
      <c r="B901" s="6"/>
      <c r="C901" s="6"/>
      <c r="D901" s="6"/>
      <c r="E901" s="6"/>
      <c r="F901" s="6"/>
      <c r="G901" s="6"/>
    </row>
    <row r="902">
      <c r="A902" s="6"/>
      <c r="B902" s="6"/>
      <c r="C902" s="6"/>
      <c r="D902" s="6"/>
      <c r="E902" s="6"/>
      <c r="F902" s="6"/>
      <c r="G902" s="6"/>
    </row>
    <row r="903">
      <c r="A903" s="6"/>
      <c r="B903" s="6"/>
      <c r="C903" s="6"/>
      <c r="D903" s="6"/>
      <c r="E903" s="6"/>
      <c r="F903" s="6"/>
      <c r="G903" s="6"/>
    </row>
    <row r="904">
      <c r="A904" s="6"/>
      <c r="B904" s="6"/>
      <c r="C904" s="6"/>
      <c r="D904" s="6"/>
      <c r="E904" s="6"/>
      <c r="F904" s="6"/>
      <c r="G904" s="6"/>
    </row>
    <row r="905">
      <c r="A905" s="6"/>
      <c r="B905" s="6"/>
      <c r="C905" s="6"/>
      <c r="D905" s="6"/>
      <c r="E905" s="6"/>
      <c r="F905" s="6"/>
      <c r="G905" s="6"/>
    </row>
    <row r="906">
      <c r="A906" s="6"/>
      <c r="B906" s="6"/>
      <c r="C906" s="6"/>
      <c r="D906" s="6"/>
      <c r="E906" s="6"/>
      <c r="F906" s="6"/>
      <c r="G906" s="6"/>
    </row>
    <row r="907">
      <c r="A907" s="6"/>
      <c r="B907" s="6"/>
      <c r="C907" s="6"/>
      <c r="D907" s="6"/>
      <c r="E907" s="6"/>
      <c r="F907" s="6"/>
      <c r="G907" s="6"/>
    </row>
    <row r="908">
      <c r="A908" s="6"/>
      <c r="B908" s="6"/>
      <c r="C908" s="6"/>
      <c r="D908" s="6"/>
      <c r="E908" s="6"/>
      <c r="F908" s="6"/>
      <c r="G908" s="6"/>
    </row>
    <row r="909">
      <c r="A909" s="6"/>
      <c r="B909" s="6"/>
      <c r="C909" s="6"/>
      <c r="D909" s="6"/>
      <c r="E909" s="6"/>
      <c r="F909" s="6"/>
      <c r="G909" s="6"/>
    </row>
    <row r="910">
      <c r="A910" s="6"/>
      <c r="B910" s="6"/>
      <c r="C910" s="6"/>
      <c r="D910" s="6"/>
      <c r="E910" s="6"/>
      <c r="F910" s="6"/>
      <c r="G910" s="6"/>
    </row>
    <row r="911">
      <c r="A911" s="6"/>
      <c r="B911" s="6"/>
      <c r="C911" s="6"/>
      <c r="D911" s="6"/>
      <c r="E911" s="6"/>
      <c r="F911" s="6"/>
      <c r="G911" s="6"/>
    </row>
    <row r="912">
      <c r="A912" s="6"/>
      <c r="B912" s="6"/>
      <c r="C912" s="6"/>
      <c r="D912" s="6"/>
      <c r="E912" s="6"/>
      <c r="F912" s="6"/>
      <c r="G912" s="6"/>
    </row>
    <row r="913">
      <c r="A913" s="6"/>
      <c r="B913" s="6"/>
      <c r="C913" s="6"/>
      <c r="D913" s="6"/>
      <c r="E913" s="6"/>
      <c r="F913" s="6"/>
      <c r="G913" s="6"/>
    </row>
    <row r="914">
      <c r="A914" s="6"/>
      <c r="B914" s="6"/>
      <c r="C914" s="6"/>
      <c r="D914" s="6"/>
      <c r="E914" s="6"/>
      <c r="F914" s="6"/>
      <c r="G914" s="6"/>
    </row>
    <row r="915">
      <c r="A915" s="6"/>
      <c r="B915" s="6"/>
      <c r="C915" s="6"/>
      <c r="D915" s="6"/>
      <c r="E915" s="6"/>
      <c r="F915" s="6"/>
      <c r="G915" s="6"/>
    </row>
    <row r="916">
      <c r="A916" s="6"/>
      <c r="B916" s="6"/>
      <c r="C916" s="6"/>
      <c r="D916" s="6"/>
      <c r="E916" s="6"/>
      <c r="F916" s="6"/>
      <c r="G916" s="6"/>
    </row>
    <row r="917">
      <c r="A917" s="6"/>
      <c r="B917" s="6"/>
      <c r="C917" s="6"/>
      <c r="D917" s="6"/>
      <c r="E917" s="6"/>
      <c r="F917" s="6"/>
      <c r="G917" s="6"/>
    </row>
    <row r="918">
      <c r="A918" s="6"/>
      <c r="B918" s="6"/>
      <c r="C918" s="6"/>
      <c r="D918" s="6"/>
      <c r="E918" s="6"/>
      <c r="F918" s="6"/>
      <c r="G918" s="6"/>
    </row>
    <row r="919">
      <c r="A919" s="6"/>
      <c r="B919" s="6"/>
      <c r="C919" s="6"/>
      <c r="D919" s="6"/>
      <c r="E919" s="6"/>
      <c r="F919" s="6"/>
      <c r="G919" s="6"/>
    </row>
    <row r="920">
      <c r="A920" s="6"/>
      <c r="B920" s="6"/>
      <c r="C920" s="6"/>
      <c r="D920" s="6"/>
      <c r="E920" s="6"/>
      <c r="F920" s="6"/>
      <c r="G920" s="6"/>
    </row>
    <row r="921">
      <c r="A921" s="6"/>
      <c r="B921" s="6"/>
      <c r="C921" s="6"/>
      <c r="D921" s="6"/>
      <c r="E921" s="6"/>
      <c r="F921" s="6"/>
      <c r="G921" s="6"/>
    </row>
    <row r="922">
      <c r="A922" s="6"/>
      <c r="B922" s="6"/>
      <c r="C922" s="6"/>
      <c r="D922" s="6"/>
      <c r="E922" s="6"/>
      <c r="F922" s="6"/>
      <c r="G922" s="6"/>
    </row>
    <row r="923">
      <c r="A923" s="6"/>
      <c r="B923" s="6"/>
      <c r="C923" s="6"/>
      <c r="D923" s="6"/>
      <c r="E923" s="6"/>
      <c r="F923" s="6"/>
      <c r="G923" s="6"/>
    </row>
    <row r="924">
      <c r="A924" s="6"/>
      <c r="B924" s="6"/>
      <c r="C924" s="6"/>
      <c r="D924" s="6"/>
      <c r="E924" s="6"/>
      <c r="F924" s="6"/>
      <c r="G924" s="6"/>
    </row>
    <row r="925">
      <c r="A925" s="6"/>
      <c r="B925" s="6"/>
      <c r="C925" s="6"/>
      <c r="D925" s="6"/>
      <c r="E925" s="6"/>
      <c r="F925" s="6"/>
      <c r="G925" s="6"/>
    </row>
    <row r="926">
      <c r="A926" s="6"/>
      <c r="B926" s="6"/>
      <c r="C926" s="6"/>
      <c r="D926" s="6"/>
      <c r="E926" s="6"/>
      <c r="F926" s="6"/>
      <c r="G926" s="6"/>
    </row>
    <row r="927">
      <c r="A927" s="6"/>
      <c r="B927" s="6"/>
      <c r="C927" s="6"/>
      <c r="D927" s="6"/>
      <c r="E927" s="6"/>
      <c r="F927" s="6"/>
      <c r="G927" s="6"/>
    </row>
    <row r="928">
      <c r="A928" s="6"/>
      <c r="B928" s="6"/>
      <c r="C928" s="6"/>
      <c r="D928" s="6"/>
      <c r="E928" s="6"/>
      <c r="F928" s="6"/>
      <c r="G928" s="6"/>
    </row>
    <row r="929">
      <c r="A929" s="6"/>
      <c r="B929" s="6"/>
      <c r="C929" s="6"/>
      <c r="D929" s="6"/>
      <c r="E929" s="6"/>
      <c r="F929" s="6"/>
      <c r="G929" s="6"/>
    </row>
    <row r="930">
      <c r="A930" s="6"/>
      <c r="B930" s="6"/>
      <c r="C930" s="6"/>
      <c r="D930" s="6"/>
      <c r="E930" s="6"/>
      <c r="F930" s="6"/>
      <c r="G930" s="6"/>
    </row>
    <row r="931">
      <c r="A931" s="6"/>
      <c r="B931" s="6"/>
      <c r="C931" s="6"/>
      <c r="D931" s="6"/>
      <c r="E931" s="6"/>
      <c r="F931" s="6"/>
      <c r="G931" s="6"/>
    </row>
    <row r="932">
      <c r="A932" s="6"/>
      <c r="B932" s="6"/>
      <c r="C932" s="6"/>
      <c r="D932" s="6"/>
      <c r="E932" s="6"/>
      <c r="F932" s="6"/>
      <c r="G932" s="6"/>
    </row>
    <row r="933">
      <c r="A933" s="6"/>
      <c r="B933" s="6"/>
      <c r="C933" s="6"/>
      <c r="D933" s="6"/>
      <c r="E933" s="6"/>
      <c r="F933" s="6"/>
      <c r="G933" s="6"/>
    </row>
    <row r="934">
      <c r="A934" s="6"/>
      <c r="B934" s="6"/>
      <c r="C934" s="6"/>
      <c r="D934" s="6"/>
      <c r="E934" s="6"/>
      <c r="F934" s="6"/>
      <c r="G934" s="6"/>
    </row>
    <row r="935">
      <c r="A935" s="6"/>
      <c r="B935" s="6"/>
      <c r="C935" s="6"/>
      <c r="D935" s="6"/>
      <c r="E935" s="6"/>
      <c r="F935" s="6"/>
      <c r="G935" s="6"/>
    </row>
    <row r="936">
      <c r="A936" s="6"/>
      <c r="B936" s="6"/>
      <c r="C936" s="6"/>
      <c r="D936" s="6"/>
      <c r="E936" s="6"/>
      <c r="F936" s="6"/>
      <c r="G936" s="6"/>
    </row>
    <row r="937">
      <c r="A937" s="6"/>
      <c r="B937" s="6"/>
      <c r="C937" s="6"/>
      <c r="D937" s="6"/>
      <c r="E937" s="6"/>
      <c r="F937" s="6"/>
      <c r="G937" s="6"/>
    </row>
    <row r="938">
      <c r="A938" s="6"/>
      <c r="B938" s="6"/>
      <c r="C938" s="6"/>
      <c r="D938" s="6"/>
      <c r="E938" s="6"/>
      <c r="F938" s="6"/>
      <c r="G938" s="6"/>
    </row>
    <row r="939">
      <c r="A939" s="6"/>
      <c r="B939" s="6"/>
      <c r="C939" s="6"/>
      <c r="D939" s="6"/>
      <c r="E939" s="6"/>
      <c r="F939" s="6"/>
      <c r="G939" s="6"/>
    </row>
    <row r="940">
      <c r="A940" s="6"/>
      <c r="B940" s="6"/>
      <c r="C940" s="6"/>
      <c r="D940" s="6"/>
      <c r="E940" s="6"/>
      <c r="F940" s="6"/>
      <c r="G940" s="6"/>
    </row>
    <row r="941">
      <c r="A941" s="6"/>
      <c r="B941" s="6"/>
      <c r="C941" s="6"/>
      <c r="D941" s="6"/>
      <c r="E941" s="6"/>
      <c r="F941" s="6"/>
      <c r="G941" s="6"/>
    </row>
    <row r="942">
      <c r="A942" s="6"/>
      <c r="B942" s="6"/>
      <c r="C942" s="6"/>
      <c r="D942" s="6"/>
      <c r="E942" s="6"/>
      <c r="F942" s="6"/>
      <c r="G942" s="6"/>
    </row>
    <row r="943">
      <c r="A943" s="6"/>
      <c r="B943" s="6"/>
      <c r="C943" s="6"/>
      <c r="D943" s="6"/>
      <c r="E943" s="6"/>
      <c r="F943" s="6"/>
      <c r="G943" s="6"/>
    </row>
    <row r="944">
      <c r="A944" s="6"/>
      <c r="B944" s="6"/>
      <c r="C944" s="6"/>
      <c r="D944" s="6"/>
      <c r="E944" s="6"/>
      <c r="F944" s="6"/>
      <c r="G944" s="6"/>
    </row>
    <row r="945">
      <c r="A945" s="6"/>
      <c r="B945" s="6"/>
      <c r="C945" s="6"/>
      <c r="D945" s="6"/>
      <c r="E945" s="6"/>
      <c r="F945" s="6"/>
      <c r="G945" s="6"/>
    </row>
    <row r="946">
      <c r="A946" s="6"/>
      <c r="B946" s="6"/>
      <c r="C946" s="6"/>
      <c r="D946" s="6"/>
      <c r="E946" s="6"/>
      <c r="F946" s="6"/>
      <c r="G946" s="6"/>
    </row>
    <row r="947">
      <c r="A947" s="6"/>
      <c r="B947" s="6"/>
      <c r="C947" s="6"/>
      <c r="D947" s="6"/>
      <c r="E947" s="6"/>
      <c r="F947" s="6"/>
      <c r="G947" s="6"/>
    </row>
    <row r="948">
      <c r="A948" s="6"/>
      <c r="B948" s="6"/>
      <c r="C948" s="6"/>
      <c r="D948" s="6"/>
      <c r="E948" s="6"/>
      <c r="F948" s="6"/>
      <c r="G948" s="6"/>
    </row>
    <row r="949">
      <c r="A949" s="6"/>
      <c r="B949" s="6"/>
      <c r="C949" s="6"/>
      <c r="D949" s="6"/>
      <c r="E949" s="6"/>
      <c r="F949" s="6"/>
      <c r="G949" s="6"/>
    </row>
    <row r="950">
      <c r="A950" s="6"/>
      <c r="B950" s="6"/>
      <c r="C950" s="6"/>
      <c r="D950" s="6"/>
      <c r="E950" s="6"/>
      <c r="F950" s="6"/>
      <c r="G950" s="6"/>
    </row>
    <row r="951">
      <c r="A951" s="6"/>
      <c r="B951" s="6"/>
      <c r="C951" s="6"/>
      <c r="D951" s="6"/>
      <c r="E951" s="6"/>
      <c r="F951" s="6"/>
      <c r="G951" s="6"/>
    </row>
    <row r="952">
      <c r="A952" s="6"/>
      <c r="B952" s="6"/>
      <c r="C952" s="6"/>
      <c r="D952" s="6"/>
      <c r="E952" s="6"/>
      <c r="F952" s="6"/>
      <c r="G952" s="6"/>
    </row>
    <row r="953">
      <c r="A953" s="6"/>
      <c r="B953" s="6"/>
      <c r="C953" s="6"/>
      <c r="D953" s="6"/>
      <c r="E953" s="6"/>
      <c r="F953" s="6"/>
      <c r="G953" s="6"/>
    </row>
    <row r="954">
      <c r="A954" s="6"/>
      <c r="B954" s="6"/>
      <c r="C954" s="6"/>
      <c r="D954" s="6"/>
      <c r="E954" s="6"/>
      <c r="F954" s="6"/>
      <c r="G954" s="6"/>
    </row>
    <row r="955">
      <c r="A955" s="6"/>
      <c r="B955" s="6"/>
      <c r="C955" s="6"/>
      <c r="D955" s="6"/>
      <c r="E955" s="6"/>
      <c r="F955" s="6"/>
      <c r="G955" s="6"/>
    </row>
    <row r="956">
      <c r="A956" s="6"/>
      <c r="B956" s="6"/>
      <c r="C956" s="6"/>
      <c r="D956" s="6"/>
      <c r="E956" s="6"/>
      <c r="F956" s="6"/>
      <c r="G956" s="6"/>
    </row>
    <row r="957">
      <c r="A957" s="6"/>
      <c r="B957" s="6"/>
      <c r="C957" s="6"/>
      <c r="D957" s="6"/>
      <c r="E957" s="6"/>
      <c r="F957" s="6"/>
      <c r="G957" s="6"/>
    </row>
    <row r="958">
      <c r="A958" s="6"/>
      <c r="B958" s="6"/>
      <c r="C958" s="6"/>
      <c r="D958" s="6"/>
      <c r="E958" s="6"/>
      <c r="F958" s="6"/>
      <c r="G958" s="6"/>
    </row>
    <row r="959">
      <c r="A959" s="6"/>
      <c r="B959" s="6"/>
      <c r="C959" s="6"/>
      <c r="D959" s="6"/>
      <c r="E959" s="6"/>
      <c r="F959" s="6"/>
      <c r="G959" s="6"/>
    </row>
    <row r="960">
      <c r="A960" s="6"/>
      <c r="B960" s="6"/>
      <c r="C960" s="6"/>
      <c r="D960" s="6"/>
      <c r="E960" s="6"/>
      <c r="F960" s="6"/>
      <c r="G960" s="6"/>
    </row>
    <row r="961">
      <c r="A961" s="6"/>
      <c r="B961" s="6"/>
      <c r="C961" s="6"/>
      <c r="D961" s="6"/>
      <c r="E961" s="6"/>
      <c r="F961" s="6"/>
      <c r="G961" s="6"/>
    </row>
    <row r="962">
      <c r="A962" s="6"/>
      <c r="B962" s="6"/>
      <c r="C962" s="6"/>
      <c r="D962" s="6"/>
      <c r="E962" s="6"/>
      <c r="F962" s="6"/>
      <c r="G962" s="6"/>
    </row>
    <row r="963">
      <c r="A963" s="6"/>
      <c r="B963" s="6"/>
      <c r="C963" s="6"/>
      <c r="D963" s="6"/>
      <c r="E963" s="6"/>
      <c r="F963" s="6"/>
      <c r="G963" s="6"/>
    </row>
    <row r="964">
      <c r="A964" s="6"/>
      <c r="B964" s="6"/>
      <c r="C964" s="6"/>
      <c r="D964" s="6"/>
      <c r="E964" s="6"/>
      <c r="F964" s="6"/>
      <c r="G964" s="6"/>
    </row>
    <row r="965">
      <c r="A965" s="6"/>
      <c r="B965" s="6"/>
      <c r="C965" s="6"/>
      <c r="D965" s="6"/>
      <c r="E965" s="6"/>
      <c r="F965" s="6"/>
      <c r="G965" s="6"/>
    </row>
    <row r="966">
      <c r="A966" s="6"/>
      <c r="B966" s="6"/>
      <c r="C966" s="6"/>
      <c r="D966" s="6"/>
      <c r="E966" s="6"/>
      <c r="F966" s="6"/>
      <c r="G966" s="6"/>
    </row>
    <row r="967">
      <c r="A967" s="6"/>
      <c r="B967" s="6"/>
      <c r="C967" s="6"/>
      <c r="D967" s="6"/>
      <c r="E967" s="6"/>
      <c r="F967" s="6"/>
      <c r="G967" s="6"/>
    </row>
    <row r="968">
      <c r="A968" s="6"/>
      <c r="B968" s="6"/>
      <c r="C968" s="6"/>
      <c r="D968" s="6"/>
      <c r="E968" s="6"/>
      <c r="F968" s="6"/>
      <c r="G968" s="6"/>
    </row>
    <row r="969">
      <c r="A969" s="6"/>
      <c r="B969" s="6"/>
      <c r="C969" s="6"/>
      <c r="D969" s="6"/>
      <c r="E969" s="6"/>
      <c r="F969" s="6"/>
      <c r="G969" s="6"/>
    </row>
    <row r="970">
      <c r="A970" s="6"/>
      <c r="B970" s="6"/>
      <c r="C970" s="6"/>
      <c r="D970" s="6"/>
      <c r="E970" s="6"/>
      <c r="F970" s="6"/>
      <c r="G970" s="6"/>
    </row>
    <row r="971">
      <c r="A971" s="6"/>
      <c r="B971" s="6"/>
      <c r="C971" s="6"/>
      <c r="D971" s="6"/>
      <c r="E971" s="6"/>
      <c r="F971" s="6"/>
      <c r="G971" s="6"/>
    </row>
    <row r="972">
      <c r="A972" s="6"/>
      <c r="B972" s="6"/>
      <c r="C972" s="6"/>
      <c r="D972" s="6"/>
      <c r="E972" s="6"/>
      <c r="F972" s="6"/>
      <c r="G972" s="6"/>
    </row>
    <row r="973">
      <c r="A973" s="6"/>
      <c r="B973" s="6"/>
      <c r="C973" s="6"/>
      <c r="D973" s="6"/>
      <c r="E973" s="6"/>
      <c r="F973" s="6"/>
      <c r="G973" s="6"/>
    </row>
    <row r="974">
      <c r="A974" s="6"/>
      <c r="B974" s="6"/>
      <c r="C974" s="6"/>
      <c r="D974" s="6"/>
      <c r="E974" s="6"/>
      <c r="F974" s="6"/>
      <c r="G974" s="6"/>
    </row>
    <row r="975">
      <c r="A975" s="6"/>
      <c r="B975" s="6"/>
      <c r="C975" s="6"/>
      <c r="D975" s="6"/>
      <c r="E975" s="6"/>
      <c r="F975" s="6"/>
      <c r="G975" s="6"/>
    </row>
    <row r="976">
      <c r="A976" s="6"/>
      <c r="B976" s="6"/>
      <c r="C976" s="6"/>
      <c r="D976" s="6"/>
      <c r="E976" s="6"/>
      <c r="F976" s="6"/>
      <c r="G976" s="6"/>
    </row>
    <row r="977">
      <c r="A977" s="6"/>
      <c r="B977" s="6"/>
      <c r="C977" s="6"/>
      <c r="D977" s="6"/>
      <c r="E977" s="6"/>
      <c r="F977" s="6"/>
      <c r="G977" s="6"/>
    </row>
    <row r="978">
      <c r="A978" s="6"/>
      <c r="B978" s="6"/>
      <c r="C978" s="6"/>
      <c r="D978" s="6"/>
      <c r="E978" s="6"/>
      <c r="F978" s="6"/>
      <c r="G978" s="6"/>
    </row>
    <row r="979">
      <c r="A979" s="6"/>
      <c r="B979" s="6"/>
      <c r="C979" s="6"/>
      <c r="D979" s="6"/>
      <c r="E979" s="6"/>
      <c r="F979" s="6"/>
      <c r="G979" s="6"/>
    </row>
    <row r="980">
      <c r="A980" s="6"/>
      <c r="B980" s="6"/>
      <c r="C980" s="6"/>
      <c r="D980" s="6"/>
      <c r="E980" s="6"/>
      <c r="F980" s="6"/>
      <c r="G980" s="6"/>
    </row>
    <row r="981">
      <c r="A981" s="6"/>
      <c r="B981" s="6"/>
      <c r="C981" s="6"/>
      <c r="D981" s="6"/>
      <c r="E981" s="6"/>
      <c r="F981" s="6"/>
      <c r="G981" s="6"/>
    </row>
    <row r="982">
      <c r="A982" s="6"/>
      <c r="B982" s="6"/>
      <c r="C982" s="6"/>
      <c r="D982" s="6"/>
      <c r="E982" s="6"/>
      <c r="F982" s="6"/>
      <c r="G982" s="6"/>
    </row>
    <row r="983">
      <c r="A983" s="6"/>
      <c r="B983" s="6"/>
      <c r="C983" s="6"/>
      <c r="D983" s="6"/>
      <c r="E983" s="6"/>
      <c r="F983" s="6"/>
      <c r="G983" s="6"/>
    </row>
    <row r="984">
      <c r="A984" s="6"/>
      <c r="B984" s="6"/>
      <c r="C984" s="6"/>
      <c r="D984" s="6"/>
      <c r="E984" s="6"/>
      <c r="F984" s="6"/>
      <c r="G984" s="6"/>
    </row>
    <row r="985">
      <c r="A985" s="6"/>
      <c r="B985" s="6"/>
      <c r="C985" s="6"/>
      <c r="D985" s="6"/>
      <c r="E985" s="6"/>
      <c r="F985" s="6"/>
      <c r="G985" s="6"/>
    </row>
    <row r="986">
      <c r="A986" s="6"/>
      <c r="B986" s="6"/>
      <c r="C986" s="6"/>
      <c r="D986" s="6"/>
      <c r="E986" s="6"/>
      <c r="F986" s="6"/>
      <c r="G986" s="6"/>
    </row>
    <row r="987">
      <c r="A987" s="6"/>
      <c r="B987" s="6"/>
      <c r="C987" s="6"/>
      <c r="D987" s="6"/>
      <c r="E987" s="6"/>
      <c r="F987" s="6"/>
      <c r="G987" s="6"/>
    </row>
    <row r="988">
      <c r="A988" s="6"/>
      <c r="B988" s="6"/>
      <c r="C988" s="6"/>
      <c r="D988" s="6"/>
      <c r="E988" s="6"/>
      <c r="F988" s="6"/>
      <c r="G988" s="6"/>
    </row>
    <row r="989">
      <c r="A989" s="6"/>
      <c r="B989" s="6"/>
      <c r="C989" s="6"/>
      <c r="D989" s="6"/>
      <c r="E989" s="6"/>
      <c r="F989" s="6"/>
      <c r="G989" s="6"/>
    </row>
    <row r="990">
      <c r="A990" s="6"/>
      <c r="B990" s="6"/>
      <c r="C990" s="6"/>
      <c r="D990" s="6"/>
      <c r="E990" s="6"/>
      <c r="F990" s="6"/>
      <c r="G990" s="6"/>
    </row>
    <row r="991">
      <c r="A991" s="6"/>
      <c r="B991" s="6"/>
      <c r="C991" s="6"/>
      <c r="D991" s="6"/>
      <c r="E991" s="6"/>
      <c r="F991" s="6"/>
      <c r="G991" s="6"/>
    </row>
    <row r="992">
      <c r="A992" s="6"/>
      <c r="B992" s="6"/>
      <c r="C992" s="6"/>
      <c r="D992" s="6"/>
      <c r="E992" s="6"/>
      <c r="F992" s="6"/>
      <c r="G992" s="6"/>
    </row>
    <row r="993">
      <c r="A993" s="6"/>
      <c r="B993" s="6"/>
      <c r="C993" s="6"/>
      <c r="D993" s="6"/>
      <c r="E993" s="6"/>
      <c r="F993" s="6"/>
      <c r="G993" s="6"/>
    </row>
    <row r="994">
      <c r="A994" s="6"/>
      <c r="B994" s="6"/>
      <c r="C994" s="6"/>
      <c r="D994" s="6"/>
      <c r="E994" s="6"/>
      <c r="F994" s="6"/>
      <c r="G994" s="6"/>
    </row>
    <row r="995">
      <c r="A995" s="6"/>
      <c r="B995" s="6"/>
      <c r="C995" s="6"/>
      <c r="D995" s="6"/>
      <c r="E995" s="6"/>
      <c r="F995" s="6"/>
      <c r="G995" s="6"/>
    </row>
    <row r="996">
      <c r="A996" s="6"/>
      <c r="B996" s="6"/>
      <c r="C996" s="6"/>
      <c r="D996" s="6"/>
      <c r="E996" s="6"/>
      <c r="F996" s="6"/>
      <c r="G996" s="6"/>
    </row>
    <row r="997">
      <c r="A997" s="6"/>
      <c r="B997" s="6"/>
      <c r="C997" s="6"/>
      <c r="D997" s="6"/>
      <c r="E997" s="6"/>
      <c r="F997" s="6"/>
      <c r="G997" s="6"/>
    </row>
    <row r="998">
      <c r="A998" s="6"/>
      <c r="B998" s="6"/>
      <c r="C998" s="6"/>
      <c r="D998" s="6"/>
      <c r="E998" s="6"/>
      <c r="F998" s="6"/>
      <c r="G998" s="6"/>
    </row>
    <row r="999">
      <c r="A999" s="6"/>
      <c r="B999" s="6"/>
      <c r="C999" s="6"/>
      <c r="D999" s="6"/>
      <c r="E999" s="6"/>
      <c r="F999" s="6"/>
      <c r="G999" s="6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5.13"/>
    <col customWidth="1" min="2" max="2" width="24.63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5.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7.88"/>
  </cols>
  <sheetData>
    <row r="1"/>
    <row r="2"/>
    <row r="3"/>
    <row r="4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25"/>
    <col customWidth="1" min="2" max="2" width="32.38"/>
    <col customWidth="1" min="3" max="3" width="48.13"/>
    <col customWidth="1" min="4" max="4" width="68.75"/>
  </cols>
  <sheetData>
    <row r="1">
      <c r="A1" s="18"/>
      <c r="B1" s="18"/>
      <c r="C1" s="19"/>
      <c r="D1" s="18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>
      <c r="A2" s="18"/>
      <c r="B2" s="18"/>
      <c r="C2" s="19"/>
      <c r="D2" s="18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>
      <c r="A3" s="18"/>
      <c r="B3" s="18"/>
      <c r="C3" s="19"/>
      <c r="D3" s="18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>
      <c r="A4" s="18"/>
      <c r="B4" s="18"/>
      <c r="C4" s="18"/>
      <c r="D4" s="18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>
      <c r="A5" s="18"/>
      <c r="B5" s="18"/>
      <c r="C5" s="18"/>
      <c r="D5" s="18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>
      <c r="A6" s="18"/>
      <c r="B6" s="18"/>
      <c r="C6" s="18"/>
      <c r="D6" s="18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>
      <c r="A7" s="18"/>
      <c r="B7" s="18"/>
      <c r="C7" s="18"/>
      <c r="D7" s="18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>
      <c r="A8" s="18"/>
      <c r="B8" s="18"/>
      <c r="C8" s="18"/>
      <c r="D8" s="18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>
      <c r="A9" s="18"/>
      <c r="B9" s="18"/>
      <c r="C9" s="18"/>
      <c r="D9" s="18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>
      <c r="A10" s="18"/>
      <c r="B10" s="18"/>
      <c r="C10" s="18"/>
      <c r="D10" s="18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>
      <c r="A11" s="18"/>
      <c r="B11" s="18"/>
      <c r="C11" s="18"/>
      <c r="D11" s="18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>
      <c r="A12" s="21" t="s">
        <v>783</v>
      </c>
      <c r="B12" s="21" t="s">
        <v>784</v>
      </c>
      <c r="C12" s="21" t="s">
        <v>785</v>
      </c>
      <c r="D12" s="21" t="s">
        <v>786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22">
        <f>SUM(Sales!J:J)</f>
        <v>88015803</v>
      </c>
      <c r="B13" s="21">
        <v>300.0</v>
      </c>
      <c r="C13" s="22" t="str">
        <f>Analysis!B8</f>
        <v>Britney Siddaley</v>
      </c>
      <c r="D13" s="23">
        <v>0.29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6"/>
      <c r="F14" s="24"/>
    </row>
    <row r="15">
      <c r="A15" s="6"/>
      <c r="B15" s="6"/>
    </row>
    <row r="16">
      <c r="A16" s="6"/>
      <c r="B16" s="6"/>
    </row>
    <row r="17">
      <c r="A17" s="6"/>
      <c r="B17" s="6"/>
    </row>
    <row r="18">
      <c r="A18" s="6"/>
      <c r="B18" s="6"/>
    </row>
    <row r="19">
      <c r="A19" s="6"/>
      <c r="B19" s="6"/>
    </row>
    <row r="20">
      <c r="A20" s="6"/>
      <c r="B20" s="6"/>
    </row>
    <row r="21">
      <c r="A21" s="6"/>
      <c r="B21" s="6"/>
    </row>
    <row r="22">
      <c r="A22" s="6"/>
      <c r="B22" s="6"/>
    </row>
    <row r="23">
      <c r="A23" s="6"/>
      <c r="B23" s="6"/>
    </row>
    <row r="24">
      <c r="A24" s="6"/>
      <c r="B24" s="6"/>
    </row>
    <row r="25">
      <c r="A25" s="6"/>
      <c r="B25" s="6"/>
    </row>
    <row r="26">
      <c r="A26" s="6"/>
    </row>
    <row r="27">
      <c r="A27" s="6"/>
      <c r="B27" s="6"/>
    </row>
    <row r="28">
      <c r="A28" s="6"/>
      <c r="B28" s="6"/>
    </row>
    <row r="29">
      <c r="A29" s="6"/>
      <c r="B29" s="6"/>
    </row>
    <row r="30">
      <c r="A30" s="6"/>
      <c r="B30" s="6"/>
    </row>
    <row r="31">
      <c r="A31" s="6"/>
      <c r="B31" s="6"/>
    </row>
    <row r="32">
      <c r="A32" s="6"/>
      <c r="B32" s="6"/>
    </row>
    <row r="33">
      <c r="A33" s="6"/>
      <c r="B33" s="6"/>
    </row>
    <row r="34">
      <c r="A34" s="6"/>
      <c r="B34" s="6"/>
    </row>
    <row r="35">
      <c r="A35" s="6"/>
      <c r="B35" s="6"/>
    </row>
    <row r="36">
      <c r="A36" s="6"/>
      <c r="B36" s="6"/>
    </row>
    <row r="37">
      <c r="A37" s="6"/>
      <c r="B37" s="6"/>
    </row>
    <row r="38">
      <c r="A38" s="6"/>
      <c r="B38" s="6"/>
    </row>
    <row r="39">
      <c r="A39" s="6"/>
      <c r="B39" s="6"/>
    </row>
    <row r="40">
      <c r="A40" s="6"/>
      <c r="B40" s="6"/>
    </row>
    <row r="41">
      <c r="A41" s="6"/>
      <c r="B41" s="6"/>
    </row>
    <row r="42">
      <c r="A42" s="6"/>
      <c r="B42" s="6"/>
    </row>
    <row r="43">
      <c r="A43" s="6"/>
      <c r="B43" s="6"/>
    </row>
    <row r="44">
      <c r="A44" s="6"/>
      <c r="B44" s="6"/>
    </row>
    <row r="45">
      <c r="A45" s="6"/>
      <c r="B45" s="6"/>
    </row>
    <row r="46">
      <c r="A46" s="6"/>
      <c r="B46" s="6"/>
    </row>
    <row r="47">
      <c r="A47" s="6"/>
      <c r="B47" s="6"/>
    </row>
    <row r="48">
      <c r="A48" s="6"/>
      <c r="B48" s="6"/>
    </row>
    <row r="49">
      <c r="A49" s="6"/>
      <c r="B49" s="6"/>
    </row>
    <row r="50">
      <c r="A50" s="6"/>
      <c r="B50" s="6"/>
    </row>
    <row r="51">
      <c r="A51" s="6"/>
      <c r="B51" s="6"/>
    </row>
    <row r="52">
      <c r="A52" s="6"/>
      <c r="B52" s="6"/>
    </row>
    <row r="53">
      <c r="A53" s="6"/>
      <c r="B53" s="6"/>
    </row>
    <row r="54">
      <c r="A54" s="6"/>
      <c r="B54" s="6"/>
    </row>
    <row r="55">
      <c r="A55" s="6"/>
      <c r="B55" s="6"/>
    </row>
    <row r="56">
      <c r="A56" s="6"/>
      <c r="B56" s="6"/>
    </row>
    <row r="57">
      <c r="A57" s="6"/>
      <c r="B57" s="6"/>
    </row>
    <row r="58">
      <c r="A58" s="6"/>
      <c r="B58" s="6"/>
    </row>
    <row r="59">
      <c r="A59" s="6"/>
      <c r="B59" s="6"/>
    </row>
    <row r="60">
      <c r="A60" s="6"/>
      <c r="B60" s="6"/>
    </row>
    <row r="61">
      <c r="A61" s="6"/>
      <c r="B61" s="6"/>
    </row>
    <row r="62">
      <c r="A62" s="6"/>
      <c r="B62" s="6"/>
    </row>
    <row r="63">
      <c r="A63" s="6"/>
      <c r="B63" s="6"/>
    </row>
    <row r="64">
      <c r="A64" s="6"/>
      <c r="B64" s="6"/>
    </row>
    <row r="65">
      <c r="A65" s="6"/>
      <c r="B65" s="6"/>
    </row>
    <row r="66">
      <c r="A66" s="6"/>
      <c r="B66" s="6"/>
    </row>
    <row r="67">
      <c r="A67" s="6"/>
      <c r="B67" s="6"/>
    </row>
    <row r="68">
      <c r="A68" s="6"/>
      <c r="B68" s="6"/>
    </row>
    <row r="69">
      <c r="A69" s="6"/>
      <c r="B69" s="6"/>
    </row>
    <row r="70">
      <c r="A70" s="6"/>
      <c r="B70" s="6"/>
    </row>
    <row r="71">
      <c r="A71" s="6"/>
      <c r="B71" s="6"/>
    </row>
    <row r="72">
      <c r="A72" s="6"/>
      <c r="B72" s="6"/>
    </row>
    <row r="73">
      <c r="A73" s="6"/>
      <c r="B73" s="6"/>
    </row>
    <row r="74">
      <c r="A74" s="6"/>
      <c r="B74" s="6"/>
    </row>
    <row r="75">
      <c r="A75" s="6"/>
      <c r="B75" s="6"/>
    </row>
    <row r="76">
      <c r="A76" s="6"/>
      <c r="B76" s="6"/>
    </row>
    <row r="77">
      <c r="A77" s="6"/>
      <c r="B77" s="6"/>
    </row>
    <row r="78">
      <c r="A78" s="6"/>
      <c r="B78" s="6"/>
    </row>
    <row r="79">
      <c r="A79" s="6"/>
      <c r="B79" s="6"/>
    </row>
    <row r="80">
      <c r="A80" s="6"/>
      <c r="B80" s="6"/>
    </row>
    <row r="81">
      <c r="A81" s="6"/>
      <c r="B81" s="6"/>
    </row>
    <row r="82">
      <c r="A82" s="6"/>
      <c r="B82" s="6"/>
    </row>
    <row r="83">
      <c r="A83" s="6"/>
      <c r="B83" s="6"/>
    </row>
    <row r="84">
      <c r="A84" s="6"/>
      <c r="B84" s="6"/>
    </row>
    <row r="85">
      <c r="A85" s="6"/>
      <c r="B85" s="6"/>
    </row>
    <row r="86">
      <c r="A86" s="6"/>
      <c r="B86" s="6"/>
    </row>
    <row r="87">
      <c r="A87" s="6"/>
      <c r="B87" s="6"/>
    </row>
    <row r="88">
      <c r="A88" s="6"/>
      <c r="B88" s="6"/>
    </row>
    <row r="89">
      <c r="A89" s="6"/>
      <c r="B89" s="6"/>
    </row>
    <row r="90">
      <c r="A90" s="6"/>
      <c r="B90" s="6"/>
    </row>
    <row r="91">
      <c r="A91" s="6"/>
      <c r="B91" s="6"/>
    </row>
    <row r="92">
      <c r="A92" s="6"/>
      <c r="B92" s="6"/>
    </row>
    <row r="93">
      <c r="A93" s="6"/>
      <c r="B93" s="6"/>
    </row>
    <row r="94">
      <c r="A94" s="6"/>
      <c r="B94" s="6"/>
    </row>
    <row r="95">
      <c r="A95" s="6"/>
      <c r="B95" s="6"/>
    </row>
    <row r="96">
      <c r="A96" s="6"/>
      <c r="B96" s="6"/>
    </row>
    <row r="97">
      <c r="A97" s="6"/>
      <c r="B97" s="6"/>
    </row>
    <row r="98">
      <c r="A98" s="6"/>
      <c r="B98" s="6"/>
    </row>
    <row r="99">
      <c r="A99" s="6"/>
      <c r="B99" s="6"/>
    </row>
    <row r="100">
      <c r="A100" s="6"/>
      <c r="B100" s="6"/>
    </row>
    <row r="101">
      <c r="A101" s="6"/>
      <c r="B101" s="6"/>
    </row>
    <row r="102">
      <c r="A102" s="6"/>
      <c r="B102" s="6"/>
    </row>
    <row r="103">
      <c r="A103" s="6"/>
      <c r="B103" s="6"/>
    </row>
    <row r="104">
      <c r="A104" s="6"/>
      <c r="B104" s="6"/>
    </row>
    <row r="105">
      <c r="A105" s="6"/>
      <c r="B105" s="6"/>
    </row>
    <row r="106">
      <c r="A106" s="6"/>
      <c r="B106" s="6"/>
    </row>
    <row r="107">
      <c r="A107" s="6"/>
      <c r="B107" s="6"/>
    </row>
    <row r="108">
      <c r="A108" s="6"/>
      <c r="B108" s="6"/>
    </row>
    <row r="109">
      <c r="A109" s="6"/>
      <c r="B109" s="6"/>
    </row>
    <row r="110">
      <c r="A110" s="6"/>
      <c r="B110" s="6"/>
    </row>
    <row r="111">
      <c r="A111" s="6"/>
      <c r="B111" s="6"/>
    </row>
    <row r="112">
      <c r="A112" s="6"/>
      <c r="B112" s="6"/>
    </row>
    <row r="113">
      <c r="A113" s="6"/>
      <c r="B113" s="6"/>
    </row>
    <row r="114">
      <c r="A114" s="6"/>
      <c r="B114" s="6"/>
    </row>
    <row r="115">
      <c r="A115" s="6"/>
      <c r="B115" s="6"/>
    </row>
    <row r="116">
      <c r="A116" s="6"/>
      <c r="B116" s="6"/>
    </row>
    <row r="117">
      <c r="A117" s="6"/>
      <c r="B117" s="6"/>
    </row>
    <row r="118">
      <c r="A118" s="6"/>
      <c r="B118" s="6"/>
    </row>
    <row r="119">
      <c r="A119" s="6"/>
      <c r="B119" s="6"/>
    </row>
    <row r="120">
      <c r="A120" s="6"/>
      <c r="B120" s="6"/>
    </row>
    <row r="121">
      <c r="A121" s="6"/>
      <c r="B121" s="6"/>
    </row>
    <row r="122">
      <c r="A122" s="6"/>
      <c r="B122" s="6"/>
    </row>
    <row r="123">
      <c r="A123" s="6"/>
      <c r="B123" s="6"/>
    </row>
    <row r="124">
      <c r="A124" s="6"/>
      <c r="B124" s="6"/>
    </row>
    <row r="125">
      <c r="A125" s="6"/>
      <c r="B125" s="6"/>
    </row>
    <row r="126">
      <c r="A126" s="6"/>
      <c r="B126" s="6"/>
    </row>
    <row r="127">
      <c r="A127" s="6"/>
      <c r="B127" s="6"/>
    </row>
    <row r="128">
      <c r="A128" s="6"/>
      <c r="B128" s="6"/>
    </row>
    <row r="129">
      <c r="A129" s="6"/>
      <c r="B129" s="6"/>
    </row>
    <row r="130">
      <c r="A130" s="6"/>
      <c r="B130" s="6"/>
    </row>
    <row r="131">
      <c r="A131" s="6"/>
      <c r="B131" s="6"/>
    </row>
    <row r="132">
      <c r="A132" s="6"/>
      <c r="B132" s="6"/>
    </row>
    <row r="133">
      <c r="A133" s="6"/>
      <c r="B133" s="6"/>
    </row>
    <row r="134">
      <c r="A134" s="6"/>
      <c r="B134" s="6"/>
    </row>
    <row r="135">
      <c r="A135" s="6"/>
      <c r="B135" s="6"/>
    </row>
    <row r="136">
      <c r="A136" s="6"/>
      <c r="B136" s="6"/>
    </row>
    <row r="137">
      <c r="A137" s="6"/>
      <c r="B137" s="6"/>
    </row>
    <row r="138">
      <c r="A138" s="6"/>
      <c r="B138" s="6"/>
    </row>
    <row r="139">
      <c r="A139" s="6"/>
      <c r="B139" s="6"/>
    </row>
    <row r="140">
      <c r="A140" s="6"/>
      <c r="B140" s="6"/>
    </row>
    <row r="141">
      <c r="A141" s="6"/>
      <c r="B141" s="6"/>
    </row>
    <row r="142">
      <c r="A142" s="6"/>
      <c r="B142" s="6"/>
    </row>
    <row r="143">
      <c r="A143" s="6"/>
      <c r="B143" s="6"/>
    </row>
    <row r="144">
      <c r="A144" s="6"/>
      <c r="B144" s="6"/>
    </row>
    <row r="145">
      <c r="A145" s="6"/>
      <c r="B145" s="6"/>
    </row>
    <row r="146">
      <c r="A146" s="6"/>
      <c r="B146" s="6"/>
    </row>
    <row r="147">
      <c r="A147" s="6"/>
      <c r="B147" s="6"/>
    </row>
    <row r="148">
      <c r="A148" s="6"/>
      <c r="B148" s="6"/>
    </row>
    <row r="149">
      <c r="A149" s="6"/>
      <c r="B149" s="6"/>
    </row>
    <row r="150">
      <c r="A150" s="6"/>
      <c r="B150" s="6"/>
    </row>
    <row r="151">
      <c r="A151" s="6"/>
      <c r="B151" s="6"/>
    </row>
    <row r="152">
      <c r="A152" s="6"/>
      <c r="B152" s="6"/>
    </row>
    <row r="153">
      <c r="A153" s="6"/>
      <c r="B153" s="6"/>
    </row>
    <row r="154">
      <c r="A154" s="6"/>
      <c r="B154" s="6"/>
    </row>
    <row r="155">
      <c r="A155" s="6"/>
      <c r="B155" s="6"/>
    </row>
    <row r="156">
      <c r="A156" s="6"/>
      <c r="B156" s="6"/>
    </row>
    <row r="157">
      <c r="A157" s="6"/>
      <c r="B157" s="6"/>
    </row>
    <row r="158">
      <c r="A158" s="6"/>
      <c r="B158" s="6"/>
    </row>
    <row r="159">
      <c r="A159" s="6"/>
      <c r="B159" s="6"/>
    </row>
    <row r="160">
      <c r="A160" s="6"/>
      <c r="B160" s="6"/>
    </row>
    <row r="161">
      <c r="A161" s="6"/>
      <c r="B161" s="6"/>
    </row>
    <row r="162">
      <c r="A162" s="6"/>
      <c r="B162" s="6"/>
    </row>
    <row r="163">
      <c r="A163" s="6"/>
      <c r="B163" s="6"/>
    </row>
    <row r="164">
      <c r="A164" s="6"/>
      <c r="B164" s="6"/>
    </row>
    <row r="165">
      <c r="A165" s="6"/>
      <c r="B165" s="6"/>
    </row>
    <row r="166">
      <c r="A166" s="6"/>
      <c r="B166" s="6"/>
    </row>
    <row r="167">
      <c r="A167" s="6"/>
      <c r="B167" s="6"/>
    </row>
    <row r="168">
      <c r="A168" s="6"/>
      <c r="B168" s="6"/>
    </row>
    <row r="169">
      <c r="A169" s="6"/>
      <c r="B169" s="6"/>
    </row>
    <row r="170">
      <c r="A170" s="6"/>
      <c r="B170" s="6"/>
    </row>
    <row r="171">
      <c r="A171" s="6"/>
      <c r="B171" s="6"/>
    </row>
    <row r="172">
      <c r="A172" s="6"/>
      <c r="B172" s="6"/>
    </row>
    <row r="173">
      <c r="A173" s="6"/>
      <c r="B173" s="6"/>
    </row>
    <row r="174">
      <c r="A174" s="6"/>
      <c r="B174" s="6"/>
    </row>
    <row r="175">
      <c r="A175" s="6"/>
      <c r="B175" s="6"/>
    </row>
    <row r="176">
      <c r="A176" s="6"/>
      <c r="B176" s="6"/>
    </row>
    <row r="177">
      <c r="A177" s="6"/>
      <c r="B177" s="6"/>
    </row>
    <row r="178">
      <c r="A178" s="6"/>
      <c r="B178" s="6"/>
    </row>
    <row r="179">
      <c r="A179" s="6"/>
      <c r="B179" s="6"/>
    </row>
    <row r="180">
      <c r="A180" s="6"/>
      <c r="B180" s="6"/>
    </row>
    <row r="181">
      <c r="A181" s="6"/>
      <c r="B181" s="6"/>
    </row>
    <row r="182">
      <c r="A182" s="6"/>
      <c r="B182" s="6"/>
    </row>
    <row r="183">
      <c r="A183" s="6"/>
      <c r="B183" s="6"/>
    </row>
    <row r="184">
      <c r="A184" s="6"/>
      <c r="B184" s="6"/>
    </row>
    <row r="185">
      <c r="A185" s="6"/>
      <c r="B185" s="6"/>
    </row>
    <row r="186">
      <c r="A186" s="6"/>
      <c r="B186" s="6"/>
    </row>
    <row r="187">
      <c r="A187" s="6"/>
      <c r="B187" s="6"/>
    </row>
    <row r="188">
      <c r="A188" s="6"/>
      <c r="B188" s="6"/>
    </row>
    <row r="189">
      <c r="A189" s="6"/>
      <c r="B189" s="6"/>
    </row>
    <row r="190">
      <c r="A190" s="6"/>
      <c r="B190" s="6"/>
    </row>
    <row r="191">
      <c r="A191" s="6"/>
      <c r="B191" s="6"/>
    </row>
    <row r="192">
      <c r="A192" s="6"/>
      <c r="B192" s="6"/>
    </row>
    <row r="193">
      <c r="A193" s="6"/>
      <c r="B193" s="6"/>
    </row>
    <row r="194">
      <c r="A194" s="6"/>
      <c r="B194" s="6"/>
    </row>
    <row r="195">
      <c r="A195" s="6"/>
      <c r="B195" s="6"/>
    </row>
    <row r="196">
      <c r="A196" s="6"/>
      <c r="B196" s="6"/>
    </row>
    <row r="197">
      <c r="A197" s="6"/>
      <c r="B197" s="6"/>
    </row>
    <row r="198">
      <c r="A198" s="6"/>
      <c r="B198" s="6"/>
    </row>
    <row r="199">
      <c r="A199" s="6"/>
      <c r="B199" s="6"/>
    </row>
    <row r="200">
      <c r="A200" s="6"/>
      <c r="B200" s="6"/>
    </row>
    <row r="201">
      <c r="A201" s="6"/>
      <c r="B201" s="6"/>
    </row>
    <row r="202">
      <c r="A202" s="6"/>
      <c r="B202" s="6"/>
    </row>
    <row r="203">
      <c r="A203" s="6"/>
      <c r="B203" s="6"/>
    </row>
    <row r="204">
      <c r="A204" s="6"/>
      <c r="B204" s="6"/>
    </row>
    <row r="205">
      <c r="A205" s="6"/>
      <c r="B205" s="6"/>
    </row>
    <row r="206">
      <c r="A206" s="6"/>
      <c r="B206" s="6"/>
    </row>
    <row r="207">
      <c r="A207" s="6"/>
      <c r="B207" s="6"/>
    </row>
    <row r="208">
      <c r="A208" s="6"/>
      <c r="B208" s="6"/>
    </row>
    <row r="209">
      <c r="A209" s="6"/>
      <c r="B209" s="6"/>
    </row>
    <row r="210">
      <c r="A210" s="6"/>
      <c r="B210" s="6"/>
    </row>
    <row r="211">
      <c r="A211" s="6"/>
      <c r="B211" s="6"/>
    </row>
    <row r="212">
      <c r="A212" s="6"/>
      <c r="B212" s="6"/>
    </row>
    <row r="213">
      <c r="A213" s="6"/>
      <c r="B213" s="6"/>
    </row>
    <row r="214">
      <c r="A214" s="6"/>
      <c r="B214" s="6"/>
    </row>
    <row r="215">
      <c r="A215" s="6"/>
      <c r="B215" s="6"/>
    </row>
    <row r="216">
      <c r="A216" s="6"/>
      <c r="B216" s="6"/>
    </row>
    <row r="217">
      <c r="A217" s="6"/>
      <c r="B217" s="6"/>
    </row>
    <row r="218">
      <c r="A218" s="6"/>
      <c r="B218" s="6"/>
    </row>
    <row r="219">
      <c r="A219" s="6"/>
      <c r="B219" s="6"/>
    </row>
    <row r="220">
      <c r="A220" s="6"/>
      <c r="B220" s="6"/>
    </row>
    <row r="221">
      <c r="A221" s="6"/>
      <c r="B221" s="6"/>
    </row>
    <row r="222">
      <c r="A222" s="6"/>
      <c r="B222" s="6"/>
    </row>
    <row r="223">
      <c r="A223" s="6"/>
      <c r="B223" s="6"/>
    </row>
    <row r="224">
      <c r="A224" s="6"/>
      <c r="B224" s="6"/>
    </row>
    <row r="225">
      <c r="A225" s="6"/>
      <c r="B225" s="6"/>
    </row>
    <row r="226">
      <c r="A226" s="6"/>
      <c r="B226" s="6"/>
    </row>
    <row r="227">
      <c r="A227" s="6"/>
      <c r="B227" s="6"/>
    </row>
    <row r="228">
      <c r="A228" s="6"/>
      <c r="B228" s="6"/>
    </row>
    <row r="229">
      <c r="A229" s="6"/>
      <c r="B229" s="6"/>
    </row>
    <row r="230">
      <c r="A230" s="6"/>
      <c r="B230" s="6"/>
    </row>
    <row r="231">
      <c r="A231" s="6"/>
      <c r="B231" s="6"/>
    </row>
    <row r="232">
      <c r="A232" s="6"/>
      <c r="B232" s="6"/>
    </row>
    <row r="233">
      <c r="A233" s="6"/>
      <c r="B233" s="6"/>
    </row>
    <row r="234">
      <c r="A234" s="6"/>
      <c r="B234" s="6"/>
    </row>
    <row r="235">
      <c r="A235" s="6"/>
      <c r="B235" s="6"/>
    </row>
    <row r="236">
      <c r="A236" s="6"/>
      <c r="B236" s="6"/>
    </row>
    <row r="237">
      <c r="A237" s="6"/>
      <c r="B237" s="6"/>
    </row>
    <row r="238">
      <c r="A238" s="6"/>
      <c r="B238" s="6"/>
    </row>
    <row r="239">
      <c r="A239" s="6"/>
      <c r="B239" s="6"/>
    </row>
    <row r="240">
      <c r="A240" s="6"/>
      <c r="B240" s="6"/>
    </row>
    <row r="241">
      <c r="A241" s="6"/>
      <c r="B241" s="6"/>
    </row>
    <row r="242">
      <c r="A242" s="6"/>
      <c r="B242" s="6"/>
    </row>
    <row r="243">
      <c r="A243" s="6"/>
      <c r="B243" s="6"/>
    </row>
    <row r="244">
      <c r="A244" s="6"/>
      <c r="B244" s="6"/>
    </row>
    <row r="245">
      <c r="A245" s="6"/>
      <c r="B245" s="6"/>
    </row>
    <row r="246">
      <c r="A246" s="6"/>
      <c r="B246" s="6"/>
    </row>
    <row r="247">
      <c r="A247" s="6"/>
      <c r="B247" s="6"/>
    </row>
    <row r="248">
      <c r="A248" s="6"/>
      <c r="B248" s="6"/>
    </row>
    <row r="249">
      <c r="A249" s="6"/>
      <c r="B249" s="6"/>
    </row>
    <row r="250">
      <c r="A250" s="6"/>
      <c r="B250" s="6"/>
    </row>
    <row r="251">
      <c r="A251" s="6"/>
      <c r="B251" s="6"/>
    </row>
    <row r="252">
      <c r="A252" s="6"/>
      <c r="B252" s="6"/>
    </row>
    <row r="253">
      <c r="A253" s="6"/>
      <c r="B253" s="6"/>
    </row>
    <row r="254">
      <c r="A254" s="6"/>
      <c r="B254" s="6"/>
    </row>
    <row r="255">
      <c r="A255" s="6"/>
      <c r="B255" s="6"/>
    </row>
    <row r="256">
      <c r="A256" s="6"/>
      <c r="B256" s="6"/>
    </row>
    <row r="257">
      <c r="A257" s="6"/>
      <c r="B257" s="6"/>
    </row>
    <row r="258">
      <c r="A258" s="6"/>
      <c r="B258" s="6"/>
    </row>
    <row r="259">
      <c r="A259" s="6"/>
      <c r="B259" s="6"/>
    </row>
    <row r="260">
      <c r="A260" s="6"/>
      <c r="B260" s="6"/>
    </row>
    <row r="261">
      <c r="A261" s="6"/>
      <c r="B261" s="6"/>
    </row>
    <row r="262">
      <c r="A262" s="6"/>
      <c r="B262" s="6"/>
    </row>
    <row r="263">
      <c r="A263" s="6"/>
      <c r="B263" s="6"/>
    </row>
    <row r="264">
      <c r="A264" s="6"/>
      <c r="B264" s="6"/>
    </row>
    <row r="265">
      <c r="A265" s="6"/>
      <c r="B265" s="6"/>
    </row>
    <row r="266">
      <c r="A266" s="6"/>
      <c r="B266" s="6"/>
    </row>
    <row r="267">
      <c r="A267" s="6"/>
      <c r="B267" s="6"/>
    </row>
    <row r="268">
      <c r="A268" s="6"/>
      <c r="B268" s="6"/>
    </row>
    <row r="269">
      <c r="A269" s="6"/>
      <c r="B269" s="6"/>
    </row>
    <row r="270">
      <c r="A270" s="6"/>
      <c r="B270" s="6"/>
    </row>
    <row r="271">
      <c r="A271" s="6"/>
      <c r="B271" s="6"/>
    </row>
    <row r="272">
      <c r="A272" s="6"/>
      <c r="B272" s="6"/>
    </row>
    <row r="273">
      <c r="A273" s="6"/>
      <c r="B273" s="6"/>
    </row>
    <row r="274">
      <c r="A274" s="6"/>
      <c r="B274" s="6"/>
    </row>
    <row r="275">
      <c r="A275" s="6"/>
      <c r="B275" s="6"/>
    </row>
    <row r="276">
      <c r="A276" s="6"/>
      <c r="B276" s="6"/>
    </row>
    <row r="277">
      <c r="A277" s="6"/>
      <c r="B277" s="6"/>
    </row>
    <row r="278">
      <c r="A278" s="6"/>
      <c r="B278" s="6"/>
    </row>
    <row r="279">
      <c r="A279" s="6"/>
      <c r="B279" s="6"/>
    </row>
    <row r="280">
      <c r="A280" s="6"/>
      <c r="B280" s="6"/>
    </row>
    <row r="281">
      <c r="A281" s="6"/>
      <c r="B281" s="6"/>
    </row>
    <row r="282">
      <c r="A282" s="6"/>
      <c r="B282" s="6"/>
    </row>
    <row r="283">
      <c r="A283" s="6"/>
      <c r="B283" s="6"/>
    </row>
    <row r="284">
      <c r="A284" s="6"/>
      <c r="B284" s="6"/>
    </row>
    <row r="285">
      <c r="A285" s="6"/>
      <c r="B285" s="6"/>
    </row>
    <row r="286">
      <c r="A286" s="6"/>
      <c r="B286" s="6"/>
    </row>
    <row r="287">
      <c r="A287" s="6"/>
      <c r="B287" s="6"/>
    </row>
    <row r="288">
      <c r="A288" s="6"/>
      <c r="B288" s="6"/>
    </row>
    <row r="289">
      <c r="A289" s="6"/>
      <c r="B289" s="6"/>
    </row>
    <row r="290">
      <c r="A290" s="6"/>
      <c r="B290" s="6"/>
    </row>
    <row r="291">
      <c r="A291" s="6"/>
      <c r="B291" s="6"/>
    </row>
    <row r="292">
      <c r="A292" s="6"/>
      <c r="B292" s="6"/>
    </row>
    <row r="293">
      <c r="A293" s="6"/>
      <c r="B293" s="6"/>
    </row>
    <row r="294">
      <c r="A294" s="6"/>
      <c r="B294" s="6"/>
    </row>
    <row r="295">
      <c r="A295" s="6"/>
      <c r="B295" s="6"/>
    </row>
    <row r="296">
      <c r="A296" s="6"/>
      <c r="B296" s="6"/>
    </row>
    <row r="297">
      <c r="A297" s="6"/>
      <c r="B297" s="6"/>
    </row>
    <row r="298">
      <c r="A298" s="6"/>
      <c r="B298" s="6"/>
    </row>
    <row r="299">
      <c r="A299" s="6"/>
      <c r="B299" s="6"/>
    </row>
    <row r="300">
      <c r="A300" s="6"/>
      <c r="B300" s="6"/>
    </row>
    <row r="301">
      <c r="A301" s="6"/>
      <c r="B301" s="6"/>
    </row>
    <row r="302">
      <c r="A302" s="6"/>
      <c r="B302" s="6"/>
    </row>
    <row r="303">
      <c r="A303" s="6"/>
      <c r="B303" s="6"/>
    </row>
    <row r="304">
      <c r="A304" s="6"/>
      <c r="B304" s="6"/>
    </row>
    <row r="305">
      <c r="A305" s="6"/>
      <c r="B305" s="6"/>
    </row>
    <row r="306">
      <c r="A306" s="6"/>
      <c r="B306" s="6"/>
    </row>
    <row r="307">
      <c r="A307" s="6"/>
      <c r="B307" s="6"/>
    </row>
    <row r="308">
      <c r="A308" s="6"/>
      <c r="B308" s="6"/>
    </row>
    <row r="309">
      <c r="A309" s="6"/>
      <c r="B309" s="6"/>
    </row>
    <row r="310">
      <c r="A310" s="6"/>
      <c r="B310" s="6"/>
    </row>
    <row r="311">
      <c r="A311" s="6"/>
      <c r="B311" s="6"/>
    </row>
    <row r="312">
      <c r="A312" s="6"/>
      <c r="B312" s="6"/>
    </row>
    <row r="313">
      <c r="A313" s="6"/>
      <c r="B313" s="6"/>
    </row>
    <row r="314">
      <c r="A314" s="6"/>
      <c r="B314" s="6"/>
    </row>
    <row r="315">
      <c r="A315" s="6"/>
      <c r="B315" s="6"/>
    </row>
    <row r="316">
      <c r="A316" s="6"/>
      <c r="B316" s="6"/>
    </row>
    <row r="317">
      <c r="A317" s="6"/>
      <c r="B317" s="6"/>
    </row>
    <row r="318">
      <c r="A318" s="6"/>
      <c r="B318" s="6"/>
    </row>
    <row r="319">
      <c r="A319" s="6"/>
      <c r="B319" s="6"/>
    </row>
    <row r="320">
      <c r="A320" s="6"/>
      <c r="B320" s="6"/>
    </row>
    <row r="321">
      <c r="A321" s="6"/>
      <c r="B321" s="6"/>
    </row>
    <row r="322">
      <c r="A322" s="6"/>
      <c r="B322" s="6"/>
    </row>
    <row r="323">
      <c r="A323" s="6"/>
      <c r="B323" s="6"/>
    </row>
    <row r="324">
      <c r="A324" s="6"/>
      <c r="B324" s="6"/>
    </row>
    <row r="325">
      <c r="A325" s="6"/>
      <c r="B325" s="6"/>
    </row>
    <row r="326">
      <c r="A326" s="6"/>
      <c r="B326" s="6"/>
    </row>
    <row r="327">
      <c r="A327" s="6"/>
      <c r="B327" s="6"/>
    </row>
    <row r="328">
      <c r="A328" s="6"/>
      <c r="B328" s="6"/>
    </row>
    <row r="329">
      <c r="A329" s="6"/>
      <c r="B329" s="6"/>
    </row>
    <row r="330">
      <c r="A330" s="6"/>
      <c r="B330" s="6"/>
    </row>
    <row r="331">
      <c r="A331" s="6"/>
      <c r="B331" s="6"/>
    </row>
    <row r="332">
      <c r="A332" s="6"/>
      <c r="B332" s="6"/>
    </row>
    <row r="333">
      <c r="A333" s="6"/>
      <c r="B333" s="6"/>
    </row>
    <row r="334">
      <c r="A334" s="6"/>
      <c r="B334" s="6"/>
    </row>
    <row r="335">
      <c r="A335" s="6"/>
      <c r="B335" s="6"/>
    </row>
    <row r="336">
      <c r="A336" s="6"/>
      <c r="B336" s="6"/>
    </row>
    <row r="337">
      <c r="A337" s="6"/>
      <c r="B337" s="6"/>
    </row>
    <row r="338">
      <c r="A338" s="6"/>
      <c r="B338" s="6"/>
    </row>
    <row r="339">
      <c r="A339" s="6"/>
      <c r="B339" s="6"/>
    </row>
    <row r="340">
      <c r="A340" s="6"/>
      <c r="B340" s="6"/>
    </row>
    <row r="341">
      <c r="A341" s="6"/>
      <c r="B341" s="6"/>
    </row>
    <row r="342">
      <c r="A342" s="6"/>
      <c r="B342" s="6"/>
    </row>
    <row r="343">
      <c r="A343" s="6"/>
      <c r="B343" s="6"/>
    </row>
    <row r="344">
      <c r="A344" s="6"/>
      <c r="B344" s="6"/>
    </row>
    <row r="345">
      <c r="A345" s="6"/>
      <c r="B345" s="6"/>
    </row>
    <row r="346">
      <c r="A346" s="6"/>
      <c r="B346" s="6"/>
    </row>
    <row r="347">
      <c r="A347" s="6"/>
      <c r="B347" s="6"/>
    </row>
    <row r="348">
      <c r="A348" s="6"/>
      <c r="B348" s="6"/>
    </row>
    <row r="349">
      <c r="A349" s="6"/>
      <c r="B349" s="6"/>
    </row>
    <row r="350">
      <c r="A350" s="6"/>
      <c r="B350" s="6"/>
    </row>
    <row r="351">
      <c r="A351" s="6"/>
      <c r="B351" s="6"/>
    </row>
    <row r="352">
      <c r="A352" s="6"/>
      <c r="B352" s="6"/>
    </row>
    <row r="353">
      <c r="A353" s="6"/>
      <c r="B353" s="6"/>
    </row>
    <row r="354">
      <c r="A354" s="6"/>
      <c r="B354" s="6"/>
    </row>
    <row r="355">
      <c r="A355" s="6"/>
      <c r="B355" s="6"/>
    </row>
    <row r="356">
      <c r="A356" s="6"/>
      <c r="B356" s="6"/>
    </row>
    <row r="357">
      <c r="A357" s="6"/>
      <c r="B357" s="6"/>
    </row>
    <row r="358">
      <c r="A358" s="6"/>
      <c r="B358" s="6"/>
    </row>
    <row r="359">
      <c r="A359" s="6"/>
      <c r="B359" s="6"/>
    </row>
    <row r="360">
      <c r="A360" s="6"/>
      <c r="B360" s="6"/>
    </row>
    <row r="361">
      <c r="A361" s="6"/>
      <c r="B361" s="6"/>
    </row>
    <row r="362">
      <c r="A362" s="6"/>
      <c r="B362" s="6"/>
    </row>
    <row r="363">
      <c r="A363" s="6"/>
      <c r="B363" s="6"/>
    </row>
    <row r="364">
      <c r="A364" s="6"/>
      <c r="B364" s="6"/>
    </row>
    <row r="365">
      <c r="A365" s="6"/>
      <c r="B365" s="6"/>
    </row>
    <row r="366">
      <c r="A366" s="6"/>
      <c r="B366" s="6"/>
    </row>
    <row r="367">
      <c r="A367" s="6"/>
      <c r="B367" s="6"/>
    </row>
    <row r="368">
      <c r="A368" s="6"/>
      <c r="B368" s="6"/>
    </row>
    <row r="369">
      <c r="A369" s="6"/>
      <c r="B369" s="6"/>
    </row>
    <row r="370">
      <c r="A370" s="6"/>
      <c r="B370" s="6"/>
    </row>
    <row r="371">
      <c r="A371" s="6"/>
      <c r="B371" s="6"/>
    </row>
    <row r="372">
      <c r="A372" s="6"/>
      <c r="B372" s="6"/>
    </row>
    <row r="373">
      <c r="A373" s="6"/>
      <c r="B373" s="6"/>
    </row>
    <row r="374">
      <c r="A374" s="6"/>
      <c r="B374" s="6"/>
    </row>
    <row r="375">
      <c r="A375" s="6"/>
      <c r="B375" s="6"/>
    </row>
    <row r="376">
      <c r="A376" s="6"/>
      <c r="B376" s="6"/>
    </row>
    <row r="377">
      <c r="A377" s="6"/>
      <c r="B377" s="6"/>
    </row>
    <row r="378">
      <c r="A378" s="6"/>
      <c r="B378" s="6"/>
    </row>
    <row r="379">
      <c r="A379" s="6"/>
      <c r="B379" s="6"/>
    </row>
    <row r="380">
      <c r="A380" s="6"/>
      <c r="B380" s="6"/>
    </row>
    <row r="381">
      <c r="A381" s="6"/>
      <c r="B381" s="6"/>
    </row>
    <row r="382">
      <c r="A382" s="6"/>
      <c r="B382" s="6"/>
    </row>
    <row r="383">
      <c r="A383" s="6"/>
      <c r="B383" s="6"/>
    </row>
    <row r="384">
      <c r="A384" s="6"/>
      <c r="B384" s="6"/>
    </row>
    <row r="385">
      <c r="A385" s="6"/>
      <c r="B385" s="6"/>
    </row>
    <row r="386">
      <c r="A386" s="6"/>
      <c r="B386" s="6"/>
    </row>
    <row r="387">
      <c r="A387" s="6"/>
      <c r="B387" s="6"/>
    </row>
    <row r="388">
      <c r="A388" s="6"/>
      <c r="B388" s="6"/>
    </row>
    <row r="389">
      <c r="A389" s="6"/>
      <c r="B389" s="6"/>
    </row>
    <row r="390">
      <c r="A390" s="6"/>
      <c r="B390" s="6"/>
    </row>
    <row r="391">
      <c r="A391" s="6"/>
      <c r="B391" s="6"/>
    </row>
    <row r="392">
      <c r="A392" s="6"/>
      <c r="B392" s="6"/>
    </row>
    <row r="393">
      <c r="A393" s="6"/>
      <c r="B393" s="6"/>
    </row>
    <row r="394">
      <c r="A394" s="6"/>
      <c r="B394" s="6"/>
    </row>
    <row r="395">
      <c r="A395" s="6"/>
      <c r="B395" s="6"/>
    </row>
    <row r="396">
      <c r="A396" s="6"/>
      <c r="B396" s="6"/>
    </row>
    <row r="397">
      <c r="A397" s="6"/>
      <c r="B397" s="6"/>
    </row>
    <row r="398">
      <c r="A398" s="6"/>
      <c r="B398" s="6"/>
    </row>
    <row r="399">
      <c r="A399" s="6"/>
      <c r="B399" s="6"/>
    </row>
    <row r="400">
      <c r="A400" s="6"/>
      <c r="B400" s="6"/>
    </row>
    <row r="401">
      <c r="A401" s="6"/>
      <c r="B401" s="6"/>
    </row>
    <row r="402">
      <c r="A402" s="6"/>
      <c r="B402" s="6"/>
    </row>
    <row r="403">
      <c r="A403" s="6"/>
      <c r="B403" s="6"/>
    </row>
    <row r="404">
      <c r="A404" s="6"/>
      <c r="B404" s="6"/>
    </row>
    <row r="405">
      <c r="A405" s="6"/>
      <c r="B405" s="6"/>
    </row>
    <row r="406">
      <c r="A406" s="6"/>
      <c r="B406" s="6"/>
    </row>
    <row r="407">
      <c r="A407" s="6"/>
      <c r="B407" s="6"/>
    </row>
    <row r="408">
      <c r="A408" s="6"/>
      <c r="B408" s="6"/>
    </row>
    <row r="409">
      <c r="A409" s="6"/>
      <c r="B409" s="6"/>
    </row>
    <row r="410">
      <c r="A410" s="6"/>
      <c r="B410" s="6"/>
    </row>
    <row r="411">
      <c r="A411" s="6"/>
      <c r="B411" s="6"/>
    </row>
    <row r="412">
      <c r="A412" s="6"/>
      <c r="B412" s="6"/>
    </row>
    <row r="413">
      <c r="A413" s="6"/>
      <c r="B413" s="6"/>
    </row>
    <row r="414">
      <c r="A414" s="6"/>
      <c r="B414" s="6"/>
    </row>
    <row r="415">
      <c r="A415" s="6"/>
      <c r="B415" s="6"/>
    </row>
    <row r="416">
      <c r="A416" s="6"/>
      <c r="B416" s="6"/>
    </row>
    <row r="417">
      <c r="A417" s="6"/>
      <c r="B417" s="6"/>
    </row>
    <row r="418">
      <c r="A418" s="6"/>
      <c r="B418" s="6"/>
    </row>
    <row r="419">
      <c r="A419" s="6"/>
      <c r="B419" s="6"/>
    </row>
    <row r="420">
      <c r="A420" s="6"/>
      <c r="B420" s="6"/>
    </row>
    <row r="421">
      <c r="A421" s="6"/>
      <c r="B421" s="6"/>
    </row>
    <row r="422">
      <c r="A422" s="6"/>
      <c r="B422" s="6"/>
    </row>
    <row r="423">
      <c r="A423" s="6"/>
      <c r="B423" s="6"/>
    </row>
    <row r="424">
      <c r="A424" s="6"/>
      <c r="B424" s="6"/>
    </row>
    <row r="425">
      <c r="A425" s="6"/>
      <c r="B425" s="6"/>
    </row>
    <row r="426">
      <c r="A426" s="6"/>
      <c r="B426" s="6"/>
    </row>
    <row r="427">
      <c r="A427" s="6"/>
      <c r="B427" s="6"/>
    </row>
    <row r="428">
      <c r="A428" s="6"/>
      <c r="B428" s="6"/>
    </row>
    <row r="429">
      <c r="A429" s="6"/>
      <c r="B429" s="6"/>
    </row>
    <row r="430">
      <c r="A430" s="6"/>
      <c r="B430" s="6"/>
    </row>
    <row r="431">
      <c r="A431" s="6"/>
      <c r="B431" s="6"/>
    </row>
    <row r="432">
      <c r="A432" s="6"/>
      <c r="B432" s="6"/>
    </row>
    <row r="433">
      <c r="A433" s="6"/>
      <c r="B433" s="6"/>
    </row>
    <row r="434">
      <c r="A434" s="6"/>
      <c r="B434" s="6"/>
    </row>
    <row r="435">
      <c r="A435" s="6"/>
      <c r="B435" s="6"/>
    </row>
    <row r="436">
      <c r="A436" s="6"/>
      <c r="B436" s="6"/>
    </row>
    <row r="437">
      <c r="A437" s="6"/>
      <c r="B437" s="6"/>
    </row>
    <row r="438">
      <c r="A438" s="6"/>
      <c r="B438" s="6"/>
    </row>
    <row r="439">
      <c r="A439" s="6"/>
      <c r="B439" s="6"/>
    </row>
    <row r="440">
      <c r="A440" s="6"/>
      <c r="B440" s="6"/>
    </row>
    <row r="441">
      <c r="A441" s="6"/>
      <c r="B441" s="6"/>
    </row>
    <row r="442">
      <c r="A442" s="6"/>
      <c r="B442" s="6"/>
    </row>
    <row r="443">
      <c r="A443" s="6"/>
      <c r="B443" s="6"/>
    </row>
    <row r="444">
      <c r="A444" s="6"/>
      <c r="B444" s="6"/>
    </row>
    <row r="445">
      <c r="A445" s="6"/>
      <c r="B445" s="6"/>
    </row>
    <row r="446">
      <c r="A446" s="6"/>
      <c r="B446" s="6"/>
    </row>
    <row r="447">
      <c r="A447" s="6"/>
      <c r="B447" s="6"/>
    </row>
    <row r="448">
      <c r="A448" s="6"/>
      <c r="B448" s="6"/>
    </row>
    <row r="449">
      <c r="A449" s="6"/>
      <c r="B449" s="6"/>
    </row>
    <row r="450">
      <c r="A450" s="6"/>
      <c r="B450" s="6"/>
    </row>
    <row r="451">
      <c r="A451" s="6"/>
      <c r="B451" s="6"/>
    </row>
    <row r="452">
      <c r="A452" s="6"/>
      <c r="B452" s="6"/>
    </row>
    <row r="453">
      <c r="A453" s="6"/>
      <c r="B453" s="6"/>
    </row>
    <row r="454">
      <c r="A454" s="6"/>
      <c r="B454" s="6"/>
    </row>
    <row r="455">
      <c r="A455" s="6"/>
      <c r="B455" s="6"/>
    </row>
    <row r="456">
      <c r="A456" s="6"/>
      <c r="B456" s="6"/>
    </row>
    <row r="457">
      <c r="A457" s="6"/>
      <c r="B457" s="6"/>
    </row>
    <row r="458">
      <c r="A458" s="6"/>
      <c r="B458" s="6"/>
    </row>
    <row r="459">
      <c r="A459" s="6"/>
      <c r="B459" s="6"/>
    </row>
    <row r="460">
      <c r="A460" s="6"/>
      <c r="B460" s="6"/>
    </row>
    <row r="461">
      <c r="A461" s="6"/>
      <c r="B461" s="6"/>
    </row>
    <row r="462">
      <c r="A462" s="6"/>
      <c r="B462" s="6"/>
    </row>
    <row r="463">
      <c r="A463" s="6"/>
      <c r="B463" s="6"/>
    </row>
    <row r="464">
      <c r="A464" s="6"/>
      <c r="B464" s="6"/>
    </row>
    <row r="465">
      <c r="A465" s="6"/>
      <c r="B465" s="6"/>
    </row>
    <row r="466">
      <c r="A466" s="6"/>
      <c r="B466" s="6"/>
    </row>
    <row r="467">
      <c r="A467" s="6"/>
      <c r="B467" s="6"/>
    </row>
    <row r="468">
      <c r="A468" s="6"/>
      <c r="B468" s="6"/>
    </row>
    <row r="469">
      <c r="A469" s="6"/>
      <c r="B469" s="6"/>
    </row>
    <row r="470">
      <c r="A470" s="6"/>
      <c r="B470" s="6"/>
    </row>
    <row r="471">
      <c r="A471" s="6"/>
      <c r="B471" s="6"/>
    </row>
    <row r="472">
      <c r="A472" s="6"/>
      <c r="B472" s="6"/>
    </row>
    <row r="473">
      <c r="A473" s="6"/>
      <c r="B473" s="6"/>
    </row>
    <row r="474">
      <c r="A474" s="6"/>
      <c r="B474" s="6"/>
    </row>
    <row r="475">
      <c r="A475" s="6"/>
      <c r="B475" s="6"/>
    </row>
    <row r="476">
      <c r="A476" s="6"/>
      <c r="B476" s="6"/>
    </row>
    <row r="477">
      <c r="A477" s="6"/>
      <c r="B477" s="6"/>
    </row>
    <row r="478">
      <c r="A478" s="6"/>
      <c r="B478" s="6"/>
    </row>
    <row r="479">
      <c r="A479" s="6"/>
      <c r="B479" s="6"/>
    </row>
    <row r="480">
      <c r="A480" s="6"/>
      <c r="B480" s="6"/>
    </row>
    <row r="481">
      <c r="A481" s="6"/>
      <c r="B481" s="6"/>
    </row>
    <row r="482">
      <c r="A482" s="6"/>
      <c r="B482" s="6"/>
    </row>
    <row r="483">
      <c r="A483" s="6"/>
      <c r="B483" s="6"/>
    </row>
    <row r="484">
      <c r="A484" s="6"/>
      <c r="B484" s="6"/>
    </row>
    <row r="485">
      <c r="A485" s="6"/>
      <c r="B485" s="6"/>
    </row>
    <row r="486">
      <c r="A486" s="6"/>
      <c r="B486" s="6"/>
    </row>
    <row r="487">
      <c r="A487" s="6"/>
      <c r="B487" s="6"/>
    </row>
    <row r="488">
      <c r="A488" s="6"/>
      <c r="B488" s="6"/>
    </row>
    <row r="489">
      <c r="A489" s="6"/>
      <c r="B489" s="6"/>
    </row>
    <row r="490">
      <c r="A490" s="6"/>
      <c r="B490" s="6"/>
    </row>
    <row r="491">
      <c r="A491" s="6"/>
      <c r="B491" s="6"/>
    </row>
    <row r="492">
      <c r="A492" s="6"/>
      <c r="B492" s="6"/>
    </row>
    <row r="493">
      <c r="A493" s="6"/>
      <c r="B493" s="6"/>
    </row>
    <row r="494">
      <c r="A494" s="6"/>
      <c r="B494" s="6"/>
    </row>
    <row r="495">
      <c r="A495" s="6"/>
      <c r="B495" s="6"/>
    </row>
    <row r="496">
      <c r="A496" s="6"/>
      <c r="B496" s="6"/>
    </row>
    <row r="497">
      <c r="A497" s="6"/>
      <c r="B497" s="6"/>
    </row>
    <row r="498">
      <c r="A498" s="6"/>
      <c r="B498" s="6"/>
    </row>
    <row r="499">
      <c r="A499" s="6"/>
      <c r="B499" s="6"/>
    </row>
    <row r="500">
      <c r="A500" s="6"/>
      <c r="B500" s="6"/>
    </row>
    <row r="501">
      <c r="A501" s="6"/>
      <c r="B501" s="6"/>
    </row>
    <row r="502">
      <c r="A502" s="6"/>
      <c r="B502" s="6"/>
    </row>
    <row r="503">
      <c r="A503" s="6"/>
      <c r="B503" s="6"/>
    </row>
    <row r="504">
      <c r="A504" s="6"/>
      <c r="B504" s="6"/>
    </row>
    <row r="505">
      <c r="A505" s="6"/>
      <c r="B505" s="6"/>
    </row>
    <row r="506">
      <c r="A506" s="6"/>
      <c r="B506" s="6"/>
    </row>
    <row r="507">
      <c r="A507" s="6"/>
      <c r="B507" s="6"/>
    </row>
    <row r="508">
      <c r="A508" s="6"/>
      <c r="B508" s="6"/>
    </row>
    <row r="509">
      <c r="A509" s="6"/>
      <c r="B509" s="6"/>
    </row>
    <row r="510">
      <c r="A510" s="6"/>
      <c r="B510" s="6"/>
    </row>
    <row r="511">
      <c r="A511" s="6"/>
      <c r="B511" s="6"/>
    </row>
    <row r="512">
      <c r="A512" s="6"/>
      <c r="B512" s="6"/>
    </row>
    <row r="513">
      <c r="A513" s="6"/>
      <c r="B513" s="6"/>
    </row>
    <row r="514">
      <c r="A514" s="6"/>
      <c r="B514" s="6"/>
    </row>
    <row r="515">
      <c r="A515" s="6"/>
      <c r="B515" s="6"/>
    </row>
    <row r="516">
      <c r="A516" s="6"/>
      <c r="B516" s="6"/>
    </row>
    <row r="517">
      <c r="A517" s="6"/>
      <c r="B517" s="6"/>
    </row>
    <row r="518">
      <c r="A518" s="6"/>
      <c r="B518" s="6"/>
    </row>
    <row r="519">
      <c r="A519" s="6"/>
      <c r="B519" s="6"/>
    </row>
    <row r="520">
      <c r="A520" s="6"/>
      <c r="B520" s="6"/>
    </row>
    <row r="521">
      <c r="A521" s="6"/>
      <c r="B521" s="6"/>
    </row>
    <row r="522">
      <c r="A522" s="6"/>
      <c r="B522" s="6"/>
    </row>
    <row r="523">
      <c r="A523" s="6"/>
      <c r="B523" s="6"/>
    </row>
    <row r="524">
      <c r="A524" s="6"/>
      <c r="B524" s="6"/>
    </row>
    <row r="525">
      <c r="A525" s="6"/>
      <c r="B525" s="6"/>
    </row>
    <row r="526">
      <c r="A526" s="6"/>
      <c r="B526" s="6"/>
    </row>
    <row r="527">
      <c r="A527" s="6"/>
      <c r="B527" s="6"/>
    </row>
    <row r="528">
      <c r="A528" s="6"/>
      <c r="B528" s="6"/>
    </row>
    <row r="529">
      <c r="A529" s="6"/>
      <c r="B529" s="6"/>
    </row>
    <row r="530">
      <c r="A530" s="6"/>
      <c r="B530" s="6"/>
    </row>
    <row r="531">
      <c r="A531" s="6"/>
      <c r="B531" s="6"/>
    </row>
    <row r="532">
      <c r="A532" s="6"/>
      <c r="B532" s="6"/>
    </row>
    <row r="533">
      <c r="A533" s="6"/>
      <c r="B533" s="6"/>
    </row>
    <row r="534">
      <c r="A534" s="6"/>
      <c r="B534" s="6"/>
    </row>
    <row r="535">
      <c r="A535" s="6"/>
      <c r="B535" s="6"/>
    </row>
    <row r="536">
      <c r="A536" s="6"/>
      <c r="B536" s="6"/>
    </row>
    <row r="537">
      <c r="A537" s="6"/>
      <c r="B537" s="6"/>
    </row>
    <row r="538">
      <c r="A538" s="6"/>
      <c r="B538" s="6"/>
    </row>
    <row r="539">
      <c r="A539" s="6"/>
      <c r="B539" s="6"/>
    </row>
    <row r="540">
      <c r="A540" s="6"/>
      <c r="B540" s="6"/>
    </row>
    <row r="541">
      <c r="A541" s="6"/>
      <c r="B541" s="6"/>
    </row>
    <row r="542">
      <c r="A542" s="6"/>
      <c r="B542" s="6"/>
    </row>
    <row r="543">
      <c r="A543" s="6"/>
      <c r="B543" s="6"/>
    </row>
    <row r="544">
      <c r="A544" s="6"/>
      <c r="B544" s="6"/>
    </row>
    <row r="545">
      <c r="A545" s="6"/>
      <c r="B545" s="6"/>
    </row>
    <row r="546">
      <c r="A546" s="6"/>
      <c r="B546" s="6"/>
    </row>
    <row r="547">
      <c r="A547" s="6"/>
      <c r="B547" s="6"/>
    </row>
    <row r="548">
      <c r="A548" s="6"/>
      <c r="B548" s="6"/>
    </row>
    <row r="549">
      <c r="A549" s="6"/>
      <c r="B549" s="6"/>
    </row>
    <row r="550">
      <c r="A550" s="6"/>
      <c r="B550" s="6"/>
    </row>
    <row r="551">
      <c r="A551" s="6"/>
      <c r="B551" s="6"/>
    </row>
    <row r="552">
      <c r="A552" s="6"/>
      <c r="B552" s="6"/>
    </row>
    <row r="553">
      <c r="A553" s="6"/>
      <c r="B553" s="6"/>
    </row>
    <row r="554">
      <c r="A554" s="6"/>
      <c r="B554" s="6"/>
    </row>
    <row r="555">
      <c r="A555" s="6"/>
      <c r="B555" s="6"/>
    </row>
    <row r="556">
      <c r="A556" s="6"/>
      <c r="B556" s="6"/>
    </row>
    <row r="557">
      <c r="A557" s="6"/>
      <c r="B557" s="6"/>
    </row>
    <row r="558">
      <c r="A558" s="6"/>
      <c r="B558" s="6"/>
    </row>
    <row r="559">
      <c r="A559" s="6"/>
      <c r="B559" s="6"/>
    </row>
    <row r="560">
      <c r="A560" s="6"/>
      <c r="B560" s="6"/>
    </row>
    <row r="561">
      <c r="A561" s="6"/>
      <c r="B561" s="6"/>
    </row>
    <row r="562">
      <c r="A562" s="6"/>
      <c r="B562" s="6"/>
    </row>
    <row r="563">
      <c r="A563" s="6"/>
      <c r="B563" s="6"/>
    </row>
    <row r="564">
      <c r="A564" s="6"/>
      <c r="B564" s="6"/>
    </row>
    <row r="565">
      <c r="A565" s="6"/>
      <c r="B565" s="6"/>
    </row>
    <row r="566">
      <c r="A566" s="6"/>
      <c r="B566" s="6"/>
    </row>
    <row r="567">
      <c r="A567" s="6"/>
      <c r="B567" s="6"/>
    </row>
    <row r="568">
      <c r="A568" s="6"/>
      <c r="B568" s="6"/>
    </row>
    <row r="569">
      <c r="A569" s="6"/>
      <c r="B569" s="6"/>
    </row>
    <row r="570">
      <c r="A570" s="6"/>
      <c r="B570" s="6"/>
    </row>
    <row r="571">
      <c r="A571" s="6"/>
      <c r="B571" s="6"/>
    </row>
    <row r="572">
      <c r="A572" s="6"/>
      <c r="B572" s="6"/>
    </row>
    <row r="573">
      <c r="A573" s="6"/>
      <c r="B573" s="6"/>
    </row>
    <row r="574">
      <c r="A574" s="6"/>
      <c r="B574" s="6"/>
    </row>
    <row r="575">
      <c r="A575" s="6"/>
      <c r="B575" s="6"/>
    </row>
    <row r="576">
      <c r="A576" s="6"/>
      <c r="B576" s="6"/>
    </row>
    <row r="577">
      <c r="A577" s="6"/>
      <c r="B577" s="6"/>
    </row>
    <row r="578">
      <c r="A578" s="6"/>
      <c r="B578" s="6"/>
    </row>
    <row r="579">
      <c r="A579" s="6"/>
      <c r="B579" s="6"/>
    </row>
    <row r="580">
      <c r="A580" s="6"/>
      <c r="B580" s="6"/>
    </row>
    <row r="581">
      <c r="A581" s="6"/>
      <c r="B581" s="6"/>
    </row>
    <row r="582">
      <c r="A582" s="6"/>
      <c r="B582" s="6"/>
    </row>
    <row r="583">
      <c r="A583" s="6"/>
      <c r="B583" s="6"/>
    </row>
    <row r="584">
      <c r="A584" s="6"/>
      <c r="B584" s="6"/>
    </row>
    <row r="585">
      <c r="A585" s="6"/>
      <c r="B585" s="6"/>
    </row>
    <row r="586">
      <c r="A586" s="6"/>
      <c r="B586" s="6"/>
    </row>
    <row r="587">
      <c r="A587" s="6"/>
      <c r="B587" s="6"/>
    </row>
    <row r="588">
      <c r="A588" s="6"/>
      <c r="B588" s="6"/>
    </row>
    <row r="589">
      <c r="A589" s="6"/>
      <c r="B589" s="6"/>
    </row>
    <row r="590">
      <c r="A590" s="6"/>
      <c r="B590" s="6"/>
    </row>
    <row r="591">
      <c r="A591" s="6"/>
      <c r="B591" s="6"/>
    </row>
    <row r="592">
      <c r="A592" s="6"/>
      <c r="B592" s="6"/>
    </row>
    <row r="593">
      <c r="A593" s="6"/>
      <c r="B593" s="6"/>
    </row>
    <row r="594">
      <c r="A594" s="6"/>
      <c r="B594" s="6"/>
    </row>
    <row r="595">
      <c r="A595" s="6"/>
      <c r="B595" s="6"/>
    </row>
    <row r="596">
      <c r="A596" s="6"/>
      <c r="B596" s="6"/>
    </row>
    <row r="597">
      <c r="A597" s="6"/>
      <c r="B597" s="6"/>
    </row>
    <row r="598">
      <c r="A598" s="6"/>
      <c r="B598" s="6"/>
    </row>
    <row r="599">
      <c r="A599" s="6"/>
      <c r="B599" s="6"/>
    </row>
    <row r="600">
      <c r="A600" s="6"/>
      <c r="B600" s="6"/>
    </row>
    <row r="601">
      <c r="A601" s="6"/>
      <c r="B601" s="6"/>
    </row>
    <row r="602">
      <c r="A602" s="6"/>
      <c r="B602" s="6"/>
    </row>
    <row r="603">
      <c r="A603" s="6"/>
      <c r="B603" s="6"/>
    </row>
    <row r="604">
      <c r="A604" s="6"/>
      <c r="B604" s="6"/>
    </row>
    <row r="605">
      <c r="A605" s="6"/>
      <c r="B605" s="6"/>
    </row>
    <row r="606">
      <c r="A606" s="6"/>
      <c r="B606" s="6"/>
    </row>
    <row r="607">
      <c r="A607" s="6"/>
      <c r="B607" s="6"/>
    </row>
    <row r="608">
      <c r="A608" s="6"/>
      <c r="B608" s="6"/>
    </row>
    <row r="609">
      <c r="A609" s="6"/>
      <c r="B609" s="6"/>
    </row>
    <row r="610">
      <c r="A610" s="6"/>
      <c r="B610" s="6"/>
    </row>
    <row r="611">
      <c r="A611" s="6"/>
      <c r="B611" s="6"/>
    </row>
    <row r="612">
      <c r="A612" s="6"/>
      <c r="B612" s="6"/>
    </row>
    <row r="613">
      <c r="A613" s="6"/>
      <c r="B613" s="6"/>
    </row>
    <row r="614">
      <c r="A614" s="6"/>
      <c r="B614" s="6"/>
    </row>
    <row r="615">
      <c r="A615" s="6"/>
      <c r="B615" s="6"/>
    </row>
    <row r="616">
      <c r="A616" s="6"/>
      <c r="B616" s="6"/>
    </row>
    <row r="617">
      <c r="A617" s="6"/>
      <c r="B617" s="6"/>
    </row>
    <row r="618">
      <c r="A618" s="6"/>
      <c r="B618" s="6"/>
    </row>
    <row r="619">
      <c r="A619" s="6"/>
      <c r="B619" s="6"/>
    </row>
    <row r="620">
      <c r="A620" s="6"/>
      <c r="B620" s="6"/>
    </row>
    <row r="621">
      <c r="A621" s="6"/>
      <c r="B621" s="6"/>
    </row>
    <row r="622">
      <c r="A622" s="6"/>
      <c r="B622" s="6"/>
    </row>
    <row r="623">
      <c r="A623" s="6"/>
      <c r="B623" s="6"/>
    </row>
    <row r="624">
      <c r="A624" s="6"/>
      <c r="B624" s="6"/>
    </row>
    <row r="625">
      <c r="A625" s="6"/>
      <c r="B625" s="6"/>
    </row>
    <row r="626">
      <c r="A626" s="6"/>
      <c r="B626" s="6"/>
    </row>
    <row r="627">
      <c r="A627" s="6"/>
      <c r="B627" s="6"/>
    </row>
    <row r="628">
      <c r="A628" s="6"/>
      <c r="B628" s="6"/>
    </row>
    <row r="629">
      <c r="A629" s="6"/>
      <c r="B629" s="6"/>
    </row>
    <row r="630">
      <c r="A630" s="6"/>
      <c r="B630" s="6"/>
    </row>
    <row r="631">
      <c r="A631" s="6"/>
      <c r="B631" s="6"/>
    </row>
    <row r="632">
      <c r="A632" s="6"/>
      <c r="B632" s="6"/>
    </row>
    <row r="633">
      <c r="A633" s="6"/>
      <c r="B633" s="6"/>
    </row>
    <row r="634">
      <c r="A634" s="6"/>
      <c r="B634" s="6"/>
    </row>
    <row r="635">
      <c r="A635" s="6"/>
      <c r="B635" s="6"/>
    </row>
    <row r="636">
      <c r="A636" s="6"/>
      <c r="B636" s="6"/>
    </row>
    <row r="637">
      <c r="A637" s="6"/>
      <c r="B637" s="6"/>
    </row>
    <row r="638">
      <c r="A638" s="6"/>
      <c r="B638" s="6"/>
    </row>
    <row r="639">
      <c r="A639" s="6"/>
      <c r="B639" s="6"/>
    </row>
    <row r="640">
      <c r="A640" s="6"/>
      <c r="B640" s="6"/>
    </row>
    <row r="641">
      <c r="A641" s="6"/>
      <c r="B641" s="6"/>
    </row>
    <row r="642">
      <c r="A642" s="6"/>
      <c r="B642" s="6"/>
    </row>
    <row r="643">
      <c r="A643" s="6"/>
      <c r="B643" s="6"/>
    </row>
    <row r="644">
      <c r="A644" s="6"/>
      <c r="B644" s="6"/>
    </row>
    <row r="645">
      <c r="A645" s="6"/>
      <c r="B645" s="6"/>
    </row>
    <row r="646">
      <c r="A646" s="6"/>
      <c r="B646" s="6"/>
    </row>
    <row r="647">
      <c r="A647" s="6"/>
      <c r="B647" s="6"/>
    </row>
    <row r="648">
      <c r="A648" s="6"/>
      <c r="B648" s="6"/>
    </row>
    <row r="649">
      <c r="A649" s="6"/>
      <c r="B649" s="6"/>
    </row>
    <row r="650">
      <c r="A650" s="6"/>
      <c r="B650" s="6"/>
    </row>
    <row r="651">
      <c r="A651" s="6"/>
      <c r="B651" s="6"/>
    </row>
    <row r="652">
      <c r="A652" s="6"/>
      <c r="B652" s="6"/>
    </row>
    <row r="653">
      <c r="A653" s="6"/>
      <c r="B653" s="6"/>
    </row>
    <row r="654">
      <c r="A654" s="6"/>
      <c r="B654" s="6"/>
    </row>
    <row r="655">
      <c r="A655" s="6"/>
      <c r="B655" s="6"/>
    </row>
    <row r="656">
      <c r="A656" s="6"/>
      <c r="B656" s="6"/>
    </row>
    <row r="657">
      <c r="A657" s="6"/>
      <c r="B657" s="6"/>
    </row>
    <row r="658">
      <c r="A658" s="6"/>
      <c r="B658" s="6"/>
    </row>
    <row r="659">
      <c r="A659" s="6"/>
      <c r="B659" s="6"/>
    </row>
    <row r="660">
      <c r="A660" s="6"/>
      <c r="B660" s="6"/>
    </row>
    <row r="661">
      <c r="A661" s="6"/>
      <c r="B661" s="6"/>
    </row>
    <row r="662">
      <c r="A662" s="6"/>
      <c r="B662" s="6"/>
    </row>
    <row r="663">
      <c r="A663" s="6"/>
      <c r="B663" s="6"/>
    </row>
    <row r="664">
      <c r="A664" s="6"/>
      <c r="B664" s="6"/>
    </row>
    <row r="665">
      <c r="A665" s="6"/>
      <c r="B665" s="6"/>
    </row>
    <row r="666">
      <c r="A666" s="6"/>
      <c r="B666" s="6"/>
    </row>
    <row r="667">
      <c r="A667" s="6"/>
      <c r="B667" s="6"/>
    </row>
    <row r="668">
      <c r="A668" s="6"/>
      <c r="B668" s="6"/>
    </row>
    <row r="669">
      <c r="A669" s="6"/>
      <c r="B669" s="6"/>
    </row>
    <row r="670">
      <c r="A670" s="6"/>
      <c r="B670" s="6"/>
    </row>
    <row r="671">
      <c r="A671" s="6"/>
      <c r="B671" s="6"/>
    </row>
    <row r="672">
      <c r="A672" s="6"/>
      <c r="B672" s="6"/>
    </row>
    <row r="673">
      <c r="A673" s="6"/>
      <c r="B673" s="6"/>
    </row>
    <row r="674">
      <c r="A674" s="6"/>
      <c r="B674" s="6"/>
    </row>
    <row r="675">
      <c r="A675" s="6"/>
      <c r="B675" s="6"/>
    </row>
    <row r="676">
      <c r="A676" s="6"/>
      <c r="B676" s="6"/>
    </row>
    <row r="677">
      <c r="A677" s="6"/>
      <c r="B677" s="6"/>
    </row>
    <row r="678">
      <c r="A678" s="6"/>
      <c r="B678" s="6"/>
    </row>
    <row r="679">
      <c r="A679" s="6"/>
      <c r="B679" s="6"/>
    </row>
    <row r="680">
      <c r="A680" s="6"/>
      <c r="B680" s="6"/>
    </row>
    <row r="681">
      <c r="A681" s="6"/>
      <c r="B681" s="6"/>
    </row>
    <row r="682">
      <c r="A682" s="6"/>
      <c r="B682" s="6"/>
    </row>
    <row r="683">
      <c r="A683" s="6"/>
      <c r="B683" s="6"/>
    </row>
    <row r="684">
      <c r="A684" s="6"/>
      <c r="B684" s="6"/>
    </row>
    <row r="685">
      <c r="A685" s="6"/>
      <c r="B685" s="6"/>
    </row>
    <row r="686">
      <c r="A686" s="6"/>
      <c r="B686" s="6"/>
    </row>
    <row r="687">
      <c r="A687" s="6"/>
      <c r="B687" s="6"/>
    </row>
    <row r="688">
      <c r="A688" s="6"/>
      <c r="B688" s="6"/>
    </row>
    <row r="689">
      <c r="A689" s="6"/>
      <c r="B689" s="6"/>
    </row>
    <row r="690">
      <c r="A690" s="6"/>
      <c r="B690" s="6"/>
    </row>
    <row r="691">
      <c r="A691" s="6"/>
      <c r="B691" s="6"/>
    </row>
    <row r="692">
      <c r="A692" s="6"/>
      <c r="B692" s="6"/>
    </row>
    <row r="693">
      <c r="A693" s="6"/>
      <c r="B693" s="6"/>
    </row>
    <row r="694">
      <c r="A694" s="6"/>
      <c r="B694" s="6"/>
    </row>
    <row r="695">
      <c r="A695" s="6"/>
      <c r="B695" s="6"/>
    </row>
    <row r="696">
      <c r="A696" s="6"/>
      <c r="B696" s="6"/>
    </row>
    <row r="697">
      <c r="A697" s="6"/>
      <c r="B697" s="6"/>
    </row>
    <row r="698">
      <c r="A698" s="6"/>
      <c r="B698" s="6"/>
    </row>
    <row r="699">
      <c r="A699" s="6"/>
      <c r="B699" s="6"/>
    </row>
    <row r="700">
      <c r="A700" s="6"/>
      <c r="B700" s="6"/>
    </row>
    <row r="701">
      <c r="A701" s="6"/>
      <c r="B701" s="6"/>
    </row>
    <row r="702">
      <c r="A702" s="6"/>
      <c r="B702" s="6"/>
    </row>
    <row r="703">
      <c r="A703" s="6"/>
      <c r="B703" s="6"/>
    </row>
    <row r="704">
      <c r="A704" s="6"/>
      <c r="B704" s="6"/>
    </row>
    <row r="705">
      <c r="A705" s="6"/>
      <c r="B705" s="6"/>
    </row>
    <row r="706">
      <c r="A706" s="6"/>
      <c r="B706" s="6"/>
    </row>
    <row r="707">
      <c r="A707" s="6"/>
      <c r="B707" s="6"/>
    </row>
    <row r="708">
      <c r="A708" s="6"/>
      <c r="B708" s="6"/>
    </row>
    <row r="709">
      <c r="A709" s="6"/>
      <c r="B709" s="6"/>
    </row>
    <row r="710">
      <c r="A710" s="6"/>
      <c r="B710" s="6"/>
    </row>
    <row r="711">
      <c r="A711" s="6"/>
      <c r="B711" s="6"/>
    </row>
    <row r="712">
      <c r="A712" s="6"/>
      <c r="B712" s="6"/>
    </row>
    <row r="713">
      <c r="A713" s="6"/>
      <c r="B713" s="6"/>
    </row>
    <row r="714">
      <c r="A714" s="6"/>
      <c r="B714" s="6"/>
    </row>
    <row r="715">
      <c r="A715" s="6"/>
      <c r="B715" s="6"/>
    </row>
    <row r="716">
      <c r="A716" s="6"/>
      <c r="B716" s="6"/>
    </row>
    <row r="717">
      <c r="A717" s="6"/>
      <c r="B717" s="6"/>
    </row>
    <row r="718">
      <c r="A718" s="6"/>
      <c r="B718" s="6"/>
    </row>
    <row r="719">
      <c r="A719" s="6"/>
      <c r="B719" s="6"/>
    </row>
    <row r="720">
      <c r="A720" s="6"/>
      <c r="B720" s="6"/>
    </row>
    <row r="721">
      <c r="A721" s="6"/>
      <c r="B721" s="6"/>
    </row>
    <row r="722">
      <c r="A722" s="6"/>
      <c r="B722" s="6"/>
    </row>
    <row r="723">
      <c r="A723" s="6"/>
      <c r="B723" s="6"/>
    </row>
    <row r="724">
      <c r="A724" s="6"/>
      <c r="B724" s="6"/>
    </row>
    <row r="725">
      <c r="A725" s="6"/>
      <c r="B725" s="6"/>
    </row>
    <row r="726">
      <c r="A726" s="6"/>
      <c r="B726" s="6"/>
    </row>
    <row r="727">
      <c r="A727" s="6"/>
      <c r="B727" s="6"/>
    </row>
    <row r="728">
      <c r="A728" s="6"/>
      <c r="B728" s="6"/>
    </row>
    <row r="729">
      <c r="A729" s="6"/>
      <c r="B729" s="6"/>
    </row>
    <row r="730">
      <c r="A730" s="6"/>
      <c r="B730" s="6"/>
    </row>
    <row r="731">
      <c r="A731" s="6"/>
      <c r="B731" s="6"/>
    </row>
    <row r="732">
      <c r="A732" s="6"/>
      <c r="B732" s="6"/>
    </row>
    <row r="733">
      <c r="A733" s="6"/>
      <c r="B733" s="6"/>
    </row>
    <row r="734">
      <c r="A734" s="6"/>
      <c r="B734" s="6"/>
    </row>
    <row r="735">
      <c r="A735" s="6"/>
      <c r="B735" s="6"/>
    </row>
    <row r="736">
      <c r="A736" s="6"/>
      <c r="B736" s="6"/>
    </row>
    <row r="737">
      <c r="A737" s="6"/>
      <c r="B737" s="6"/>
    </row>
    <row r="738">
      <c r="A738" s="6"/>
      <c r="B738" s="6"/>
    </row>
    <row r="739">
      <c r="A739" s="6"/>
      <c r="B739" s="6"/>
    </row>
    <row r="740">
      <c r="A740" s="6"/>
      <c r="B740" s="6"/>
    </row>
    <row r="741">
      <c r="A741" s="6"/>
      <c r="B741" s="6"/>
    </row>
    <row r="742">
      <c r="A742" s="6"/>
      <c r="B742" s="6"/>
    </row>
    <row r="743">
      <c r="A743" s="6"/>
      <c r="B743" s="6"/>
    </row>
    <row r="744">
      <c r="A744" s="6"/>
      <c r="B744" s="6"/>
    </row>
    <row r="745">
      <c r="A745" s="6"/>
      <c r="B745" s="6"/>
    </row>
    <row r="746">
      <c r="A746" s="6"/>
      <c r="B746" s="6"/>
    </row>
    <row r="747">
      <c r="A747" s="6"/>
      <c r="B747" s="6"/>
    </row>
    <row r="748">
      <c r="A748" s="6"/>
      <c r="B748" s="6"/>
    </row>
    <row r="749">
      <c r="A749" s="6"/>
      <c r="B749" s="6"/>
    </row>
    <row r="750">
      <c r="A750" s="6"/>
      <c r="B750" s="6"/>
    </row>
    <row r="751">
      <c r="A751" s="6"/>
      <c r="B751" s="6"/>
    </row>
    <row r="752">
      <c r="A752" s="6"/>
      <c r="B752" s="6"/>
    </row>
    <row r="753">
      <c r="A753" s="6"/>
      <c r="B753" s="6"/>
    </row>
    <row r="754">
      <c r="A754" s="6"/>
      <c r="B754" s="6"/>
    </row>
    <row r="755">
      <c r="A755" s="6"/>
      <c r="B755" s="6"/>
    </row>
    <row r="756">
      <c r="A756" s="6"/>
      <c r="B756" s="6"/>
    </row>
    <row r="757">
      <c r="A757" s="6"/>
      <c r="B757" s="6"/>
    </row>
    <row r="758">
      <c r="A758" s="6"/>
      <c r="B758" s="6"/>
    </row>
    <row r="759">
      <c r="A759" s="6"/>
      <c r="B759" s="6"/>
    </row>
    <row r="760">
      <c r="A760" s="6"/>
      <c r="B760" s="6"/>
    </row>
    <row r="761">
      <c r="A761" s="6"/>
      <c r="B761" s="6"/>
    </row>
    <row r="762">
      <c r="A762" s="6"/>
      <c r="B762" s="6"/>
    </row>
    <row r="763">
      <c r="A763" s="6"/>
      <c r="B763" s="6"/>
    </row>
    <row r="764">
      <c r="A764" s="6"/>
      <c r="B764" s="6"/>
    </row>
    <row r="765">
      <c r="A765" s="6"/>
      <c r="B765" s="6"/>
    </row>
    <row r="766">
      <c r="A766" s="6"/>
      <c r="B766" s="6"/>
    </row>
    <row r="767">
      <c r="A767" s="6"/>
      <c r="B767" s="6"/>
    </row>
    <row r="768">
      <c r="A768" s="6"/>
      <c r="B768" s="6"/>
    </row>
    <row r="769">
      <c r="A769" s="6"/>
      <c r="B769" s="6"/>
    </row>
    <row r="770">
      <c r="A770" s="6"/>
      <c r="B770" s="6"/>
    </row>
    <row r="771">
      <c r="A771" s="6"/>
      <c r="B771" s="6"/>
    </row>
    <row r="772">
      <c r="A772" s="6"/>
      <c r="B772" s="6"/>
    </row>
    <row r="773">
      <c r="A773" s="6"/>
      <c r="B773" s="6"/>
    </row>
    <row r="774">
      <c r="A774" s="6"/>
      <c r="B774" s="6"/>
    </row>
    <row r="775">
      <c r="A775" s="6"/>
      <c r="B775" s="6"/>
    </row>
    <row r="776">
      <c r="A776" s="6"/>
      <c r="B776" s="6"/>
    </row>
    <row r="777">
      <c r="A777" s="6"/>
      <c r="B777" s="6"/>
    </row>
    <row r="778">
      <c r="A778" s="6"/>
      <c r="B778" s="6"/>
    </row>
    <row r="779">
      <c r="A779" s="6"/>
      <c r="B779" s="6"/>
    </row>
    <row r="780">
      <c r="A780" s="6"/>
      <c r="B780" s="6"/>
    </row>
    <row r="781">
      <c r="A781" s="6"/>
      <c r="B781" s="6"/>
    </row>
    <row r="782">
      <c r="A782" s="6"/>
      <c r="B782" s="6"/>
    </row>
    <row r="783">
      <c r="A783" s="6"/>
      <c r="B783" s="6"/>
    </row>
    <row r="784">
      <c r="A784" s="6"/>
      <c r="B784" s="6"/>
    </row>
    <row r="785">
      <c r="A785" s="6"/>
      <c r="B785" s="6"/>
    </row>
    <row r="786">
      <c r="A786" s="6"/>
      <c r="B786" s="6"/>
    </row>
    <row r="787">
      <c r="A787" s="6"/>
      <c r="B787" s="6"/>
    </row>
    <row r="788">
      <c r="A788" s="6"/>
      <c r="B788" s="6"/>
    </row>
    <row r="789">
      <c r="A789" s="6"/>
      <c r="B789" s="6"/>
    </row>
    <row r="790">
      <c r="A790" s="6"/>
      <c r="B790" s="6"/>
    </row>
    <row r="791">
      <c r="A791" s="6"/>
      <c r="B791" s="6"/>
    </row>
    <row r="792">
      <c r="A792" s="6"/>
      <c r="B792" s="6"/>
    </row>
    <row r="793">
      <c r="A793" s="6"/>
      <c r="B793" s="6"/>
    </row>
    <row r="794">
      <c r="A794" s="6"/>
      <c r="B794" s="6"/>
    </row>
    <row r="795">
      <c r="A795" s="6"/>
      <c r="B795" s="6"/>
    </row>
    <row r="796">
      <c r="A796" s="6"/>
      <c r="B796" s="6"/>
    </row>
    <row r="797">
      <c r="A797" s="6"/>
      <c r="B797" s="6"/>
    </row>
    <row r="798">
      <c r="A798" s="6"/>
      <c r="B798" s="6"/>
    </row>
    <row r="799">
      <c r="A799" s="6"/>
      <c r="B799" s="6"/>
    </row>
    <row r="800">
      <c r="A800" s="6"/>
      <c r="B800" s="6"/>
    </row>
    <row r="801">
      <c r="A801" s="6"/>
      <c r="B801" s="6"/>
    </row>
    <row r="802">
      <c r="A802" s="6"/>
      <c r="B802" s="6"/>
    </row>
    <row r="803">
      <c r="A803" s="6"/>
      <c r="B803" s="6"/>
    </row>
    <row r="804">
      <c r="A804" s="6"/>
      <c r="B804" s="6"/>
    </row>
    <row r="805">
      <c r="A805" s="6"/>
      <c r="B805" s="6"/>
    </row>
    <row r="806">
      <c r="A806" s="6"/>
      <c r="B806" s="6"/>
    </row>
    <row r="807">
      <c r="A807" s="6"/>
      <c r="B807" s="6"/>
    </row>
    <row r="808">
      <c r="A808" s="6"/>
      <c r="B808" s="6"/>
    </row>
    <row r="809">
      <c r="A809" s="6"/>
      <c r="B809" s="6"/>
    </row>
    <row r="810">
      <c r="A810" s="6"/>
      <c r="B810" s="6"/>
    </row>
    <row r="811">
      <c r="A811" s="6"/>
      <c r="B811" s="6"/>
    </row>
    <row r="812">
      <c r="A812" s="6"/>
      <c r="B812" s="6"/>
    </row>
    <row r="813">
      <c r="A813" s="6"/>
      <c r="B813" s="6"/>
    </row>
    <row r="814">
      <c r="A814" s="6"/>
      <c r="B814" s="6"/>
    </row>
    <row r="815">
      <c r="A815" s="6"/>
      <c r="B815" s="6"/>
    </row>
    <row r="816">
      <c r="A816" s="6"/>
      <c r="B816" s="6"/>
    </row>
    <row r="817">
      <c r="A817" s="6"/>
      <c r="B817" s="6"/>
    </row>
    <row r="818">
      <c r="A818" s="6"/>
      <c r="B818" s="6"/>
    </row>
    <row r="819">
      <c r="A819" s="6"/>
      <c r="B819" s="6"/>
    </row>
    <row r="820">
      <c r="A820" s="6"/>
      <c r="B820" s="6"/>
    </row>
    <row r="821">
      <c r="A821" s="6"/>
      <c r="B821" s="6"/>
    </row>
    <row r="822">
      <c r="A822" s="6"/>
      <c r="B822" s="6"/>
    </row>
    <row r="823">
      <c r="A823" s="6"/>
      <c r="B823" s="6"/>
    </row>
    <row r="824">
      <c r="A824" s="6"/>
      <c r="B824" s="6"/>
    </row>
    <row r="825">
      <c r="A825" s="6"/>
      <c r="B825" s="6"/>
    </row>
    <row r="826">
      <c r="A826" s="6"/>
      <c r="B826" s="6"/>
    </row>
    <row r="827">
      <c r="A827" s="6"/>
      <c r="B827" s="6"/>
    </row>
    <row r="828">
      <c r="A828" s="6"/>
      <c r="B828" s="6"/>
    </row>
    <row r="829">
      <c r="A829" s="6"/>
      <c r="B829" s="6"/>
    </row>
    <row r="830">
      <c r="A830" s="6"/>
      <c r="B830" s="6"/>
    </row>
    <row r="831">
      <c r="A831" s="6"/>
      <c r="B831" s="6"/>
    </row>
    <row r="832">
      <c r="A832" s="6"/>
      <c r="B832" s="6"/>
    </row>
    <row r="833">
      <c r="A833" s="6"/>
      <c r="B833" s="6"/>
    </row>
    <row r="834">
      <c r="A834" s="6"/>
      <c r="B834" s="6"/>
    </row>
    <row r="835">
      <c r="A835" s="6"/>
      <c r="B835" s="6"/>
    </row>
    <row r="836">
      <c r="A836" s="6"/>
      <c r="B836" s="6"/>
    </row>
    <row r="837">
      <c r="A837" s="6"/>
      <c r="B837" s="6"/>
    </row>
    <row r="838">
      <c r="A838" s="6"/>
      <c r="B838" s="6"/>
    </row>
    <row r="839">
      <c r="A839" s="6"/>
      <c r="B839" s="6"/>
    </row>
    <row r="840">
      <c r="A840" s="6"/>
      <c r="B840" s="6"/>
    </row>
    <row r="841">
      <c r="A841" s="6"/>
      <c r="B841" s="6"/>
    </row>
    <row r="842">
      <c r="A842" s="6"/>
      <c r="B842" s="6"/>
    </row>
    <row r="843">
      <c r="A843" s="6"/>
      <c r="B843" s="6"/>
    </row>
    <row r="844">
      <c r="A844" s="6"/>
      <c r="B844" s="6"/>
    </row>
    <row r="845">
      <c r="A845" s="6"/>
      <c r="B845" s="6"/>
    </row>
    <row r="846">
      <c r="A846" s="6"/>
      <c r="B846" s="6"/>
    </row>
    <row r="847">
      <c r="A847" s="6"/>
      <c r="B847" s="6"/>
    </row>
    <row r="848">
      <c r="A848" s="6"/>
      <c r="B848" s="6"/>
    </row>
    <row r="849">
      <c r="A849" s="6"/>
      <c r="B849" s="6"/>
    </row>
    <row r="850">
      <c r="A850" s="6"/>
      <c r="B850" s="6"/>
    </row>
    <row r="851">
      <c r="A851" s="6"/>
      <c r="B851" s="6"/>
    </row>
    <row r="852">
      <c r="A852" s="6"/>
      <c r="B852" s="6"/>
    </row>
    <row r="853">
      <c r="A853" s="6"/>
      <c r="B853" s="6"/>
    </row>
    <row r="854">
      <c r="A854" s="6"/>
      <c r="B854" s="6"/>
    </row>
    <row r="855">
      <c r="A855" s="6"/>
      <c r="B855" s="6"/>
    </row>
    <row r="856">
      <c r="A856" s="6"/>
      <c r="B856" s="6"/>
    </row>
    <row r="857">
      <c r="A857" s="6"/>
      <c r="B857" s="6"/>
    </row>
    <row r="858">
      <c r="A858" s="6"/>
      <c r="B858" s="6"/>
    </row>
    <row r="859">
      <c r="A859" s="6"/>
      <c r="B859" s="6"/>
    </row>
    <row r="860">
      <c r="A860" s="6"/>
      <c r="B860" s="6"/>
    </row>
    <row r="861">
      <c r="A861" s="6"/>
      <c r="B861" s="6"/>
    </row>
    <row r="862">
      <c r="A862" s="6"/>
      <c r="B862" s="6"/>
    </row>
    <row r="863">
      <c r="A863" s="6"/>
      <c r="B863" s="6"/>
    </row>
    <row r="864">
      <c r="A864" s="6"/>
      <c r="B864" s="6"/>
    </row>
    <row r="865">
      <c r="A865" s="6"/>
      <c r="B865" s="6"/>
    </row>
    <row r="866">
      <c r="A866" s="6"/>
      <c r="B866" s="6"/>
    </row>
    <row r="867">
      <c r="A867" s="6"/>
      <c r="B867" s="6"/>
    </row>
    <row r="868">
      <c r="A868" s="6"/>
      <c r="B868" s="6"/>
    </row>
    <row r="869">
      <c r="A869" s="6"/>
      <c r="B869" s="6"/>
    </row>
    <row r="870">
      <c r="A870" s="6"/>
      <c r="B870" s="6"/>
    </row>
    <row r="871">
      <c r="A871" s="6"/>
      <c r="B871" s="6"/>
    </row>
    <row r="872">
      <c r="A872" s="6"/>
      <c r="B872" s="6"/>
    </row>
    <row r="873">
      <c r="A873" s="6"/>
      <c r="B873" s="6"/>
    </row>
    <row r="874">
      <c r="A874" s="6"/>
      <c r="B874" s="6"/>
    </row>
    <row r="875">
      <c r="A875" s="6"/>
      <c r="B875" s="6"/>
    </row>
    <row r="876">
      <c r="A876" s="6"/>
      <c r="B876" s="6"/>
    </row>
    <row r="877">
      <c r="A877" s="6"/>
      <c r="B877" s="6"/>
    </row>
    <row r="878">
      <c r="A878" s="6"/>
      <c r="B878" s="6"/>
    </row>
    <row r="879">
      <c r="A879" s="6"/>
      <c r="B879" s="6"/>
    </row>
    <row r="880">
      <c r="A880" s="6"/>
      <c r="B880" s="6"/>
    </row>
    <row r="881">
      <c r="A881" s="6"/>
      <c r="B881" s="6"/>
    </row>
    <row r="882">
      <c r="A882" s="6"/>
      <c r="B882" s="6"/>
    </row>
    <row r="883">
      <c r="A883" s="6"/>
      <c r="B883" s="6"/>
    </row>
    <row r="884">
      <c r="A884" s="6"/>
      <c r="B884" s="6"/>
    </row>
    <row r="885">
      <c r="A885" s="6"/>
      <c r="B885" s="6"/>
    </row>
    <row r="886">
      <c r="A886" s="6"/>
      <c r="B886" s="6"/>
    </row>
    <row r="887">
      <c r="A887" s="6"/>
      <c r="B887" s="6"/>
    </row>
    <row r="888">
      <c r="A888" s="6"/>
      <c r="B888" s="6"/>
    </row>
    <row r="889">
      <c r="A889" s="6"/>
      <c r="B889" s="6"/>
    </row>
    <row r="890">
      <c r="A890" s="6"/>
      <c r="B890" s="6"/>
    </row>
    <row r="891">
      <c r="A891" s="6"/>
      <c r="B891" s="6"/>
    </row>
    <row r="892">
      <c r="A892" s="6"/>
      <c r="B892" s="6"/>
    </row>
    <row r="893">
      <c r="A893" s="6"/>
      <c r="B893" s="6"/>
    </row>
    <row r="894">
      <c r="A894" s="6"/>
      <c r="B894" s="6"/>
    </row>
    <row r="895">
      <c r="A895" s="6"/>
      <c r="B895" s="6"/>
    </row>
    <row r="896">
      <c r="A896" s="6"/>
      <c r="B896" s="6"/>
    </row>
    <row r="897">
      <c r="A897" s="6"/>
      <c r="B897" s="6"/>
    </row>
    <row r="898">
      <c r="A898" s="6"/>
      <c r="B898" s="6"/>
    </row>
    <row r="899">
      <c r="A899" s="6"/>
      <c r="B899" s="6"/>
    </row>
    <row r="900">
      <c r="A900" s="6"/>
      <c r="B900" s="6"/>
    </row>
    <row r="901">
      <c r="A901" s="6"/>
      <c r="B901" s="6"/>
    </row>
    <row r="902">
      <c r="A902" s="6"/>
      <c r="B902" s="6"/>
    </row>
    <row r="903">
      <c r="A903" s="6"/>
      <c r="B903" s="6"/>
    </row>
    <row r="904">
      <c r="A904" s="6"/>
      <c r="B904" s="6"/>
    </row>
    <row r="905">
      <c r="A905" s="6"/>
      <c r="B905" s="6"/>
    </row>
    <row r="906">
      <c r="A906" s="6"/>
      <c r="B906" s="6"/>
    </row>
    <row r="907">
      <c r="A907" s="6"/>
      <c r="B907" s="6"/>
    </row>
    <row r="908">
      <c r="A908" s="6"/>
      <c r="B908" s="6"/>
    </row>
    <row r="909">
      <c r="A909" s="6"/>
      <c r="B909" s="6"/>
    </row>
    <row r="910">
      <c r="A910" s="6"/>
      <c r="B910" s="6"/>
    </row>
    <row r="911">
      <c r="A911" s="6"/>
      <c r="B911" s="6"/>
    </row>
    <row r="912">
      <c r="A912" s="6"/>
      <c r="B912" s="6"/>
    </row>
    <row r="913">
      <c r="A913" s="6"/>
      <c r="B913" s="6"/>
    </row>
    <row r="914">
      <c r="A914" s="6"/>
      <c r="B914" s="6"/>
    </row>
    <row r="915">
      <c r="A915" s="6"/>
      <c r="B915" s="6"/>
    </row>
    <row r="916">
      <c r="A916" s="6"/>
      <c r="B916" s="6"/>
    </row>
    <row r="917">
      <c r="A917" s="6"/>
      <c r="B917" s="6"/>
    </row>
    <row r="918">
      <c r="A918" s="6"/>
      <c r="B918" s="6"/>
    </row>
    <row r="919">
      <c r="A919" s="6"/>
      <c r="B919" s="6"/>
    </row>
    <row r="920">
      <c r="A920" s="6"/>
      <c r="B920" s="6"/>
    </row>
    <row r="921">
      <c r="A921" s="6"/>
      <c r="B921" s="6"/>
    </row>
    <row r="922">
      <c r="A922" s="6"/>
      <c r="B922" s="6"/>
    </row>
    <row r="923">
      <c r="A923" s="6"/>
      <c r="B923" s="6"/>
    </row>
    <row r="924">
      <c r="A924" s="6"/>
      <c r="B924" s="6"/>
    </row>
    <row r="925">
      <c r="A925" s="6"/>
      <c r="B925" s="6"/>
    </row>
    <row r="926">
      <c r="A926" s="6"/>
      <c r="B926" s="6"/>
    </row>
    <row r="927">
      <c r="A927" s="6"/>
      <c r="B927" s="6"/>
    </row>
    <row r="928">
      <c r="A928" s="6"/>
      <c r="B928" s="6"/>
    </row>
    <row r="929">
      <c r="A929" s="6"/>
      <c r="B929" s="6"/>
    </row>
    <row r="930">
      <c r="A930" s="6"/>
      <c r="B930" s="6"/>
    </row>
    <row r="931">
      <c r="A931" s="6"/>
      <c r="B931" s="6"/>
    </row>
    <row r="932">
      <c r="A932" s="6"/>
      <c r="B932" s="6"/>
    </row>
    <row r="933">
      <c r="A933" s="6"/>
      <c r="B933" s="6"/>
    </row>
    <row r="934">
      <c r="A934" s="6"/>
      <c r="B934" s="6"/>
    </row>
    <row r="935">
      <c r="A935" s="6"/>
      <c r="B935" s="6"/>
    </row>
    <row r="936">
      <c r="A936" s="6"/>
      <c r="B936" s="6"/>
    </row>
    <row r="937">
      <c r="A937" s="6"/>
      <c r="B937" s="6"/>
    </row>
    <row r="938">
      <c r="A938" s="6"/>
      <c r="B938" s="6"/>
    </row>
    <row r="939">
      <c r="A939" s="6"/>
      <c r="B939" s="6"/>
    </row>
    <row r="940">
      <c r="A940" s="6"/>
      <c r="B940" s="6"/>
    </row>
    <row r="941">
      <c r="A941" s="6"/>
      <c r="B941" s="6"/>
    </row>
    <row r="942">
      <c r="A942" s="6"/>
      <c r="B942" s="6"/>
    </row>
    <row r="943">
      <c r="A943" s="6"/>
      <c r="B943" s="6"/>
    </row>
    <row r="944">
      <c r="A944" s="6"/>
      <c r="B944" s="6"/>
    </row>
    <row r="945">
      <c r="A945" s="6"/>
      <c r="B945" s="6"/>
    </row>
    <row r="946">
      <c r="A946" s="6"/>
      <c r="B946" s="6"/>
    </row>
    <row r="947">
      <c r="A947" s="6"/>
      <c r="B947" s="6"/>
    </row>
    <row r="948">
      <c r="A948" s="6"/>
      <c r="B948" s="6"/>
    </row>
    <row r="949">
      <c r="A949" s="6"/>
      <c r="B949" s="6"/>
    </row>
    <row r="950">
      <c r="A950" s="6"/>
      <c r="B950" s="6"/>
    </row>
    <row r="951">
      <c r="A951" s="6"/>
      <c r="B951" s="6"/>
    </row>
    <row r="952">
      <c r="A952" s="6"/>
      <c r="B952" s="6"/>
    </row>
    <row r="953">
      <c r="A953" s="6"/>
      <c r="B953" s="6"/>
    </row>
    <row r="954">
      <c r="A954" s="6"/>
      <c r="B954" s="6"/>
    </row>
    <row r="955">
      <c r="A955" s="6"/>
      <c r="B955" s="6"/>
    </row>
    <row r="956">
      <c r="A956" s="6"/>
      <c r="B956" s="6"/>
    </row>
    <row r="957">
      <c r="A957" s="6"/>
      <c r="B957" s="6"/>
    </row>
    <row r="958">
      <c r="A958" s="6"/>
      <c r="B958" s="6"/>
    </row>
    <row r="959">
      <c r="A959" s="6"/>
      <c r="B959" s="6"/>
    </row>
    <row r="960">
      <c r="A960" s="6"/>
      <c r="B960" s="6"/>
    </row>
    <row r="961">
      <c r="A961" s="6"/>
      <c r="B961" s="6"/>
    </row>
    <row r="962">
      <c r="A962" s="6"/>
      <c r="B962" s="6"/>
    </row>
    <row r="963">
      <c r="A963" s="6"/>
      <c r="B963" s="6"/>
    </row>
    <row r="964">
      <c r="A964" s="6"/>
      <c r="B964" s="6"/>
    </row>
    <row r="965">
      <c r="A965" s="6"/>
      <c r="B965" s="6"/>
    </row>
    <row r="966">
      <c r="A966" s="6"/>
      <c r="B966" s="6"/>
    </row>
    <row r="967">
      <c r="A967" s="6"/>
      <c r="B967" s="6"/>
    </row>
    <row r="968">
      <c r="A968" s="6"/>
      <c r="B968" s="6"/>
    </row>
    <row r="969">
      <c r="A969" s="6"/>
      <c r="B969" s="6"/>
    </row>
    <row r="970">
      <c r="A970" s="6"/>
      <c r="B970" s="6"/>
    </row>
    <row r="971">
      <c r="A971" s="6"/>
      <c r="B971" s="6"/>
    </row>
    <row r="972">
      <c r="A972" s="6"/>
      <c r="B972" s="6"/>
    </row>
    <row r="973">
      <c r="A973" s="6"/>
      <c r="B973" s="6"/>
    </row>
    <row r="974">
      <c r="A974" s="6"/>
      <c r="B974" s="6"/>
    </row>
    <row r="975">
      <c r="A975" s="6"/>
      <c r="B975" s="6"/>
    </row>
    <row r="976">
      <c r="A976" s="6"/>
      <c r="B976" s="6"/>
    </row>
    <row r="977">
      <c r="A977" s="6"/>
      <c r="B977" s="6"/>
    </row>
    <row r="978">
      <c r="A978" s="6"/>
      <c r="B978" s="6"/>
    </row>
    <row r="979">
      <c r="A979" s="6"/>
      <c r="B979" s="6"/>
    </row>
    <row r="980">
      <c r="A980" s="6"/>
      <c r="B980" s="6"/>
    </row>
    <row r="981">
      <c r="A981" s="6"/>
      <c r="B981" s="6"/>
    </row>
    <row r="982">
      <c r="A982" s="6"/>
      <c r="B982" s="6"/>
    </row>
    <row r="983">
      <c r="A983" s="6"/>
      <c r="B983" s="6"/>
    </row>
    <row r="984">
      <c r="A984" s="6"/>
      <c r="B984" s="6"/>
    </row>
    <row r="985">
      <c r="A985" s="6"/>
      <c r="B985" s="6"/>
    </row>
    <row r="986">
      <c r="A986" s="6"/>
      <c r="B986" s="6"/>
    </row>
    <row r="987">
      <c r="A987" s="6"/>
      <c r="B987" s="6"/>
    </row>
    <row r="988">
      <c r="A988" s="6"/>
      <c r="B988" s="6"/>
    </row>
    <row r="989">
      <c r="A989" s="6"/>
      <c r="B989" s="6"/>
    </row>
    <row r="990">
      <c r="A990" s="6"/>
      <c r="B990" s="6"/>
    </row>
    <row r="991">
      <c r="A991" s="6"/>
      <c r="B991" s="6"/>
    </row>
    <row r="992">
      <c r="A992" s="6"/>
      <c r="B992" s="6"/>
    </row>
    <row r="993">
      <c r="A993" s="6"/>
      <c r="B993" s="6"/>
    </row>
    <row r="994">
      <c r="A994" s="6"/>
      <c r="B994" s="6"/>
    </row>
    <row r="995">
      <c r="A995" s="6"/>
      <c r="B995" s="6"/>
    </row>
    <row r="996">
      <c r="A996" s="6"/>
      <c r="B996" s="6"/>
    </row>
    <row r="997">
      <c r="A997" s="6"/>
      <c r="B997" s="6"/>
    </row>
    <row r="998">
      <c r="A998" s="6"/>
      <c r="B998" s="6"/>
    </row>
    <row r="999">
      <c r="A999" s="6"/>
      <c r="B999" s="6"/>
    </row>
    <row r="1000">
      <c r="A1000" s="6"/>
      <c r="B1000" s="6"/>
    </row>
  </sheetData>
  <drawing r:id="rId4"/>
  <legacyDrawing r:id="rId5"/>
</worksheet>
</file>